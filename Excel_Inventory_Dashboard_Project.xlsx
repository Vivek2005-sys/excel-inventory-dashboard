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VISHAL PUSPALAK\OneDrive\Documents\Excel project\"/>
    </mc:Choice>
  </mc:AlternateContent>
  <xr:revisionPtr revIDLastSave="0" documentId="8_{9BA3BF3A-0763-4C1F-95CA-DC22E9743693}" xr6:coauthVersionLast="47" xr6:coauthVersionMax="47" xr10:uidLastSave="{00000000-0000-0000-0000-000000000000}"/>
  <bookViews>
    <workbookView xWindow="-120" yWindow="-120" windowWidth="20730" windowHeight="11040" firstSheet="1" activeTab="5" xr2:uid="{CD5DE33C-935D-4DD7-8620-99F84F1F3284}"/>
  </bookViews>
  <sheets>
    <sheet name="Raw_Inventory" sheetId="1" r:id="rId1"/>
    <sheet name="Stock_Calculation" sheetId="2" r:id="rId2"/>
    <sheet name="Validation" sheetId="3" r:id="rId3"/>
    <sheet name="Detail1" sheetId="5" r:id="rId4"/>
    <sheet name="Detail2" sheetId="6" r:id="rId5"/>
    <sheet name="Inventory_Report" sheetId="4" r:id="rId6"/>
    <sheet name="Sheet5" sheetId="7" r:id="rId7"/>
  </sheets>
  <definedNames>
    <definedName name="_xlnm._FilterDatabase" localSheetId="2" hidden="1">Validation!$A$1:$D$501</definedName>
    <definedName name="Slicer_Product_Name">#N/A</definedName>
    <definedName name="Slicer_Supplier">#N/A</definedName>
  </definedNames>
  <calcPr calcId="191029"/>
  <pivotCaches>
    <pivotCache cacheId="3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4" l="1"/>
  <c r="J5" i="4"/>
  <c r="G5" i="4"/>
  <c r="C4" i="2"/>
  <c r="C3"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2" i="2"/>
  <c r="D2" i="2"/>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2" i="3"/>
  <c r="I138" i="2"/>
  <c r="I478" i="2"/>
  <c r="H490" i="2"/>
  <c r="G7" i="2"/>
  <c r="G11" i="2"/>
  <c r="G18" i="2"/>
  <c r="G22" i="2"/>
  <c r="G23" i="2"/>
  <c r="G27" i="2"/>
  <c r="G39" i="2"/>
  <c r="G43" i="2"/>
  <c r="G50" i="2"/>
  <c r="G54" i="2"/>
  <c r="G55" i="2"/>
  <c r="G59" i="2"/>
  <c r="G71" i="2"/>
  <c r="G75" i="2"/>
  <c r="G82" i="2"/>
  <c r="G86" i="2"/>
  <c r="G87" i="2"/>
  <c r="G91" i="2"/>
  <c r="G103" i="2"/>
  <c r="G107" i="2"/>
  <c r="G114" i="2"/>
  <c r="G118" i="2"/>
  <c r="G119" i="2"/>
  <c r="G123" i="2"/>
  <c r="G135" i="2"/>
  <c r="G139" i="2"/>
  <c r="G146" i="2"/>
  <c r="G150" i="2"/>
  <c r="G151" i="2"/>
  <c r="G155" i="2"/>
  <c r="G167" i="2"/>
  <c r="G171" i="2"/>
  <c r="G178" i="2"/>
  <c r="G182" i="2"/>
  <c r="G183" i="2"/>
  <c r="G187" i="2"/>
  <c r="G199" i="2"/>
  <c r="G203" i="2"/>
  <c r="G210" i="2"/>
  <c r="G214" i="2"/>
  <c r="G215" i="2"/>
  <c r="G219" i="2"/>
  <c r="G231" i="2"/>
  <c r="G235" i="2"/>
  <c r="G242" i="2"/>
  <c r="G246" i="2"/>
  <c r="G247" i="2"/>
  <c r="G251" i="2"/>
  <c r="G263" i="2"/>
  <c r="G267" i="2"/>
  <c r="G274" i="2"/>
  <c r="G278" i="2"/>
  <c r="G279" i="2"/>
  <c r="I279" i="2" s="1"/>
  <c r="G283" i="2"/>
  <c r="G295" i="2"/>
  <c r="G299" i="2"/>
  <c r="G306" i="2"/>
  <c r="G310" i="2"/>
  <c r="G311" i="2"/>
  <c r="G315" i="2"/>
  <c r="G327" i="2"/>
  <c r="G331" i="2"/>
  <c r="G338" i="2"/>
  <c r="G342" i="2"/>
  <c r="G343" i="2"/>
  <c r="G347" i="2"/>
  <c r="G359" i="2"/>
  <c r="I359" i="2" s="1"/>
  <c r="G363" i="2"/>
  <c r="G370" i="2"/>
  <c r="G374" i="2"/>
  <c r="G375" i="2"/>
  <c r="G379" i="2"/>
  <c r="G391" i="2"/>
  <c r="G395" i="2"/>
  <c r="G402" i="2"/>
  <c r="G406" i="2"/>
  <c r="G407" i="2"/>
  <c r="I407" i="2" s="1"/>
  <c r="G411" i="2"/>
  <c r="G423" i="2"/>
  <c r="G427" i="2"/>
  <c r="G434" i="2"/>
  <c r="G438" i="2"/>
  <c r="G439" i="2"/>
  <c r="G443" i="2"/>
  <c r="G455" i="2"/>
  <c r="I455" i="2" s="1"/>
  <c r="G459" i="2"/>
  <c r="I459" i="2" s="1"/>
  <c r="G466" i="2"/>
  <c r="I466" i="2" s="1"/>
  <c r="G470" i="2"/>
  <c r="I470" i="2" s="1"/>
  <c r="G471" i="2"/>
  <c r="G475" i="2"/>
  <c r="G487" i="2"/>
  <c r="I487" i="2" s="1"/>
  <c r="G491" i="2"/>
  <c r="G498"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H79" i="2" s="1"/>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H143" i="2" s="1"/>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H207" i="2" s="1"/>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H279" i="2" s="1"/>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H335" i="2" s="1"/>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H455" i="2" s="1"/>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H495" i="2" s="1"/>
  <c r="F496" i="2"/>
  <c r="F497" i="2"/>
  <c r="F498" i="2"/>
  <c r="F499" i="2"/>
  <c r="F500" i="2"/>
  <c r="F501" i="2"/>
  <c r="E7" i="2"/>
  <c r="E8" i="2"/>
  <c r="G8" i="2" s="1"/>
  <c r="E9" i="2"/>
  <c r="E10" i="2"/>
  <c r="E11" i="2"/>
  <c r="E12" i="2"/>
  <c r="G12" i="2" s="1"/>
  <c r="E13" i="2"/>
  <c r="E14" i="2"/>
  <c r="E15" i="2"/>
  <c r="E16" i="2"/>
  <c r="G16" i="2" s="1"/>
  <c r="E17" i="2"/>
  <c r="E18" i="2"/>
  <c r="E19" i="2"/>
  <c r="E20" i="2"/>
  <c r="G20" i="2" s="1"/>
  <c r="E21" i="2"/>
  <c r="E22" i="2"/>
  <c r="E23" i="2"/>
  <c r="E24" i="2"/>
  <c r="G24" i="2" s="1"/>
  <c r="E25" i="2"/>
  <c r="E26" i="2"/>
  <c r="E27" i="2"/>
  <c r="E28" i="2"/>
  <c r="G28" i="2" s="1"/>
  <c r="E29" i="2"/>
  <c r="E30" i="2"/>
  <c r="E31" i="2"/>
  <c r="E32" i="2"/>
  <c r="G32" i="2" s="1"/>
  <c r="E33" i="2"/>
  <c r="E34" i="2"/>
  <c r="E35" i="2"/>
  <c r="E36" i="2"/>
  <c r="G36" i="2" s="1"/>
  <c r="I36" i="2" s="1"/>
  <c r="E37" i="2"/>
  <c r="E38" i="2"/>
  <c r="E39" i="2"/>
  <c r="E40" i="2"/>
  <c r="G40" i="2" s="1"/>
  <c r="E41" i="2"/>
  <c r="E42" i="2"/>
  <c r="E43" i="2"/>
  <c r="E44" i="2"/>
  <c r="G44" i="2" s="1"/>
  <c r="E45" i="2"/>
  <c r="E46" i="2"/>
  <c r="E47" i="2"/>
  <c r="E48" i="2"/>
  <c r="G48" i="2" s="1"/>
  <c r="E49" i="2"/>
  <c r="E50" i="2"/>
  <c r="E51" i="2"/>
  <c r="E52" i="2"/>
  <c r="G52" i="2" s="1"/>
  <c r="E53" i="2"/>
  <c r="E54" i="2"/>
  <c r="E55" i="2"/>
  <c r="E56" i="2"/>
  <c r="G56" i="2" s="1"/>
  <c r="E57" i="2"/>
  <c r="E58" i="2"/>
  <c r="E59" i="2"/>
  <c r="E60" i="2"/>
  <c r="G60" i="2" s="1"/>
  <c r="E61" i="2"/>
  <c r="E62" i="2"/>
  <c r="E63" i="2"/>
  <c r="E64" i="2"/>
  <c r="G64" i="2" s="1"/>
  <c r="E65" i="2"/>
  <c r="E66" i="2"/>
  <c r="E67" i="2"/>
  <c r="E68" i="2"/>
  <c r="G68" i="2" s="1"/>
  <c r="E69" i="2"/>
  <c r="E70" i="2"/>
  <c r="E71" i="2"/>
  <c r="E72" i="2"/>
  <c r="G72" i="2" s="1"/>
  <c r="E73" i="2"/>
  <c r="E74" i="2"/>
  <c r="E75" i="2"/>
  <c r="E76" i="2"/>
  <c r="G76" i="2" s="1"/>
  <c r="E77" i="2"/>
  <c r="E78" i="2"/>
  <c r="E79" i="2"/>
  <c r="E80" i="2"/>
  <c r="G80" i="2" s="1"/>
  <c r="E81" i="2"/>
  <c r="E82" i="2"/>
  <c r="E83" i="2"/>
  <c r="E84" i="2"/>
  <c r="G84" i="2" s="1"/>
  <c r="E85" i="2"/>
  <c r="E86" i="2"/>
  <c r="E87" i="2"/>
  <c r="E88" i="2"/>
  <c r="G88" i="2" s="1"/>
  <c r="H88" i="2" s="1"/>
  <c r="E89" i="2"/>
  <c r="E90" i="2"/>
  <c r="E91" i="2"/>
  <c r="E92" i="2"/>
  <c r="G92" i="2" s="1"/>
  <c r="E93" i="2"/>
  <c r="E94" i="2"/>
  <c r="E95" i="2"/>
  <c r="E96" i="2"/>
  <c r="G96" i="2" s="1"/>
  <c r="E97" i="2"/>
  <c r="E98" i="2"/>
  <c r="E99" i="2"/>
  <c r="E100" i="2"/>
  <c r="G100" i="2" s="1"/>
  <c r="I100" i="2" s="1"/>
  <c r="E101" i="2"/>
  <c r="E102" i="2"/>
  <c r="E103" i="2"/>
  <c r="E104" i="2"/>
  <c r="G104" i="2" s="1"/>
  <c r="E105" i="2"/>
  <c r="E106" i="2"/>
  <c r="E107" i="2"/>
  <c r="E108" i="2"/>
  <c r="G108" i="2" s="1"/>
  <c r="E109" i="2"/>
  <c r="E110" i="2"/>
  <c r="E111" i="2"/>
  <c r="E112" i="2"/>
  <c r="G112" i="2" s="1"/>
  <c r="E113" i="2"/>
  <c r="E114" i="2"/>
  <c r="E115" i="2"/>
  <c r="E116" i="2"/>
  <c r="G116" i="2" s="1"/>
  <c r="E117" i="2"/>
  <c r="E118" i="2"/>
  <c r="E119" i="2"/>
  <c r="E120" i="2"/>
  <c r="G120" i="2" s="1"/>
  <c r="E121" i="2"/>
  <c r="E122" i="2"/>
  <c r="E123" i="2"/>
  <c r="E124" i="2"/>
  <c r="G124" i="2" s="1"/>
  <c r="E125" i="2"/>
  <c r="E126" i="2"/>
  <c r="E127" i="2"/>
  <c r="E128" i="2"/>
  <c r="G128" i="2" s="1"/>
  <c r="E129" i="2"/>
  <c r="E130" i="2"/>
  <c r="E131" i="2"/>
  <c r="E132" i="2"/>
  <c r="G132" i="2" s="1"/>
  <c r="E133" i="2"/>
  <c r="E134" i="2"/>
  <c r="E135" i="2"/>
  <c r="E136" i="2"/>
  <c r="G136" i="2" s="1"/>
  <c r="E137" i="2"/>
  <c r="E138" i="2"/>
  <c r="E139" i="2"/>
  <c r="E140" i="2"/>
  <c r="G140" i="2" s="1"/>
  <c r="E141" i="2"/>
  <c r="E142" i="2"/>
  <c r="E143" i="2"/>
  <c r="E144" i="2"/>
  <c r="G144" i="2" s="1"/>
  <c r="E145" i="2"/>
  <c r="E146" i="2"/>
  <c r="E147" i="2"/>
  <c r="E148" i="2"/>
  <c r="G148" i="2" s="1"/>
  <c r="E149" i="2"/>
  <c r="E150" i="2"/>
  <c r="E151" i="2"/>
  <c r="E152" i="2"/>
  <c r="G152" i="2" s="1"/>
  <c r="E153" i="2"/>
  <c r="E154" i="2"/>
  <c r="E155" i="2"/>
  <c r="E156" i="2"/>
  <c r="G156" i="2" s="1"/>
  <c r="E157" i="2"/>
  <c r="E158" i="2"/>
  <c r="E159" i="2"/>
  <c r="E160" i="2"/>
  <c r="G160" i="2" s="1"/>
  <c r="E161" i="2"/>
  <c r="E162" i="2"/>
  <c r="E163" i="2"/>
  <c r="E164" i="2"/>
  <c r="G164" i="2" s="1"/>
  <c r="I164" i="2" s="1"/>
  <c r="E165" i="2"/>
  <c r="E166" i="2"/>
  <c r="E167" i="2"/>
  <c r="E168" i="2"/>
  <c r="G168" i="2" s="1"/>
  <c r="E169" i="2"/>
  <c r="E170" i="2"/>
  <c r="E171" i="2"/>
  <c r="E172" i="2"/>
  <c r="G172" i="2" s="1"/>
  <c r="E173" i="2"/>
  <c r="E174" i="2"/>
  <c r="E175" i="2"/>
  <c r="E176" i="2"/>
  <c r="G176" i="2" s="1"/>
  <c r="E177" i="2"/>
  <c r="E178" i="2"/>
  <c r="E179" i="2"/>
  <c r="E180" i="2"/>
  <c r="G180" i="2" s="1"/>
  <c r="E181" i="2"/>
  <c r="E182" i="2"/>
  <c r="E183" i="2"/>
  <c r="E184" i="2"/>
  <c r="G184" i="2" s="1"/>
  <c r="E185" i="2"/>
  <c r="E186" i="2"/>
  <c r="E187" i="2"/>
  <c r="E188" i="2"/>
  <c r="G188" i="2" s="1"/>
  <c r="E189" i="2"/>
  <c r="E190" i="2"/>
  <c r="E191" i="2"/>
  <c r="E192" i="2"/>
  <c r="G192" i="2" s="1"/>
  <c r="E193" i="2"/>
  <c r="E194" i="2"/>
  <c r="E195" i="2"/>
  <c r="E196" i="2"/>
  <c r="G196" i="2" s="1"/>
  <c r="E197" i="2"/>
  <c r="E198" i="2"/>
  <c r="E199" i="2"/>
  <c r="E200" i="2"/>
  <c r="G200" i="2" s="1"/>
  <c r="E201" i="2"/>
  <c r="E202" i="2"/>
  <c r="E203" i="2"/>
  <c r="E204" i="2"/>
  <c r="G204" i="2" s="1"/>
  <c r="E205" i="2"/>
  <c r="E206" i="2"/>
  <c r="E207" i="2"/>
  <c r="E208" i="2"/>
  <c r="G208" i="2" s="1"/>
  <c r="E209" i="2"/>
  <c r="E210" i="2"/>
  <c r="E211" i="2"/>
  <c r="E212" i="2"/>
  <c r="G212" i="2" s="1"/>
  <c r="E213" i="2"/>
  <c r="E214" i="2"/>
  <c r="E215" i="2"/>
  <c r="E216" i="2"/>
  <c r="G216" i="2" s="1"/>
  <c r="E217" i="2"/>
  <c r="E218" i="2"/>
  <c r="E219" i="2"/>
  <c r="E220" i="2"/>
  <c r="G220" i="2" s="1"/>
  <c r="E221" i="2"/>
  <c r="E222" i="2"/>
  <c r="E223" i="2"/>
  <c r="E224" i="2"/>
  <c r="G224" i="2" s="1"/>
  <c r="E225" i="2"/>
  <c r="E226" i="2"/>
  <c r="E227" i="2"/>
  <c r="E228" i="2"/>
  <c r="G228" i="2" s="1"/>
  <c r="E229" i="2"/>
  <c r="E230" i="2"/>
  <c r="E231" i="2"/>
  <c r="E232" i="2"/>
  <c r="G232" i="2" s="1"/>
  <c r="E233" i="2"/>
  <c r="E234" i="2"/>
  <c r="E235" i="2"/>
  <c r="E236" i="2"/>
  <c r="G236" i="2" s="1"/>
  <c r="E237" i="2"/>
  <c r="E238" i="2"/>
  <c r="E239" i="2"/>
  <c r="E240" i="2"/>
  <c r="G240" i="2" s="1"/>
  <c r="E241" i="2"/>
  <c r="E242" i="2"/>
  <c r="E243" i="2"/>
  <c r="E244" i="2"/>
  <c r="G244" i="2" s="1"/>
  <c r="E245" i="2"/>
  <c r="E246" i="2"/>
  <c r="E247" i="2"/>
  <c r="E248" i="2"/>
  <c r="G248" i="2" s="1"/>
  <c r="E249" i="2"/>
  <c r="E250" i="2"/>
  <c r="E251" i="2"/>
  <c r="E252" i="2"/>
  <c r="G252" i="2" s="1"/>
  <c r="E253" i="2"/>
  <c r="E254" i="2"/>
  <c r="E255" i="2"/>
  <c r="E256" i="2"/>
  <c r="G256" i="2" s="1"/>
  <c r="E257" i="2"/>
  <c r="E258" i="2"/>
  <c r="E259" i="2"/>
  <c r="E260" i="2"/>
  <c r="G260" i="2" s="1"/>
  <c r="E261" i="2"/>
  <c r="E262" i="2"/>
  <c r="E263" i="2"/>
  <c r="E264" i="2"/>
  <c r="G264" i="2" s="1"/>
  <c r="I264" i="2" s="1"/>
  <c r="E265" i="2"/>
  <c r="E266" i="2"/>
  <c r="E267" i="2"/>
  <c r="E268" i="2"/>
  <c r="G268" i="2" s="1"/>
  <c r="E269" i="2"/>
  <c r="E270" i="2"/>
  <c r="E271" i="2"/>
  <c r="E272" i="2"/>
  <c r="G272" i="2" s="1"/>
  <c r="E273" i="2"/>
  <c r="E274" i="2"/>
  <c r="E275" i="2"/>
  <c r="E276" i="2"/>
  <c r="G276" i="2" s="1"/>
  <c r="E277" i="2"/>
  <c r="E278" i="2"/>
  <c r="E279" i="2"/>
  <c r="E280" i="2"/>
  <c r="G280" i="2" s="1"/>
  <c r="E281" i="2"/>
  <c r="E282" i="2"/>
  <c r="E283" i="2"/>
  <c r="E284" i="2"/>
  <c r="G284" i="2" s="1"/>
  <c r="E285" i="2"/>
  <c r="E286" i="2"/>
  <c r="E287" i="2"/>
  <c r="E288" i="2"/>
  <c r="G288" i="2" s="1"/>
  <c r="E289" i="2"/>
  <c r="E290" i="2"/>
  <c r="E291" i="2"/>
  <c r="E292" i="2"/>
  <c r="G292" i="2" s="1"/>
  <c r="H292" i="2" s="1"/>
  <c r="E293" i="2"/>
  <c r="E294" i="2"/>
  <c r="E295" i="2"/>
  <c r="E296" i="2"/>
  <c r="G296" i="2" s="1"/>
  <c r="E297" i="2"/>
  <c r="E298" i="2"/>
  <c r="E299" i="2"/>
  <c r="E300" i="2"/>
  <c r="G300" i="2" s="1"/>
  <c r="E301" i="2"/>
  <c r="E302" i="2"/>
  <c r="E303" i="2"/>
  <c r="E304" i="2"/>
  <c r="G304" i="2" s="1"/>
  <c r="E305" i="2"/>
  <c r="E306" i="2"/>
  <c r="E307" i="2"/>
  <c r="E308" i="2"/>
  <c r="G308" i="2" s="1"/>
  <c r="E309" i="2"/>
  <c r="E310" i="2"/>
  <c r="E311" i="2"/>
  <c r="E312" i="2"/>
  <c r="G312" i="2" s="1"/>
  <c r="E313" i="2"/>
  <c r="E314" i="2"/>
  <c r="E315" i="2"/>
  <c r="E316" i="2"/>
  <c r="G316" i="2" s="1"/>
  <c r="E317" i="2"/>
  <c r="E318" i="2"/>
  <c r="E319" i="2"/>
  <c r="E320" i="2"/>
  <c r="G320" i="2" s="1"/>
  <c r="E321" i="2"/>
  <c r="E322" i="2"/>
  <c r="E323" i="2"/>
  <c r="E324" i="2"/>
  <c r="G324" i="2" s="1"/>
  <c r="E325" i="2"/>
  <c r="E326" i="2"/>
  <c r="E327" i="2"/>
  <c r="E328" i="2"/>
  <c r="G328" i="2" s="1"/>
  <c r="E329" i="2"/>
  <c r="E330" i="2"/>
  <c r="E331" i="2"/>
  <c r="E332" i="2"/>
  <c r="G332" i="2" s="1"/>
  <c r="E333" i="2"/>
  <c r="E334" i="2"/>
  <c r="E335" i="2"/>
  <c r="E336" i="2"/>
  <c r="G336" i="2" s="1"/>
  <c r="E337" i="2"/>
  <c r="E338" i="2"/>
  <c r="E339" i="2"/>
  <c r="E340" i="2"/>
  <c r="G340" i="2" s="1"/>
  <c r="E341" i="2"/>
  <c r="E342" i="2"/>
  <c r="E343" i="2"/>
  <c r="E344" i="2"/>
  <c r="G344" i="2" s="1"/>
  <c r="E345" i="2"/>
  <c r="E346" i="2"/>
  <c r="E347" i="2"/>
  <c r="E348" i="2"/>
  <c r="G348" i="2" s="1"/>
  <c r="E349" i="2"/>
  <c r="E350" i="2"/>
  <c r="E351" i="2"/>
  <c r="E352" i="2"/>
  <c r="G352" i="2" s="1"/>
  <c r="E353" i="2"/>
  <c r="E354" i="2"/>
  <c r="E355" i="2"/>
  <c r="E356" i="2"/>
  <c r="G356" i="2" s="1"/>
  <c r="E357" i="2"/>
  <c r="E358" i="2"/>
  <c r="E359" i="2"/>
  <c r="E360" i="2"/>
  <c r="G360" i="2" s="1"/>
  <c r="E361" i="2"/>
  <c r="E362" i="2"/>
  <c r="E363" i="2"/>
  <c r="E364" i="2"/>
  <c r="G364" i="2" s="1"/>
  <c r="E365" i="2"/>
  <c r="E366" i="2"/>
  <c r="E367" i="2"/>
  <c r="E368" i="2"/>
  <c r="G368" i="2" s="1"/>
  <c r="E369" i="2"/>
  <c r="E370" i="2"/>
  <c r="E371" i="2"/>
  <c r="E372" i="2"/>
  <c r="G372" i="2" s="1"/>
  <c r="I372" i="2" s="1"/>
  <c r="E373" i="2"/>
  <c r="E374" i="2"/>
  <c r="E375" i="2"/>
  <c r="E376" i="2"/>
  <c r="G376" i="2" s="1"/>
  <c r="E377" i="2"/>
  <c r="E378" i="2"/>
  <c r="E379" i="2"/>
  <c r="E380" i="2"/>
  <c r="G380" i="2" s="1"/>
  <c r="E381" i="2"/>
  <c r="E382" i="2"/>
  <c r="E383" i="2"/>
  <c r="E384" i="2"/>
  <c r="G384" i="2" s="1"/>
  <c r="E385" i="2"/>
  <c r="E386" i="2"/>
  <c r="E387" i="2"/>
  <c r="E388" i="2"/>
  <c r="G388" i="2" s="1"/>
  <c r="E389" i="2"/>
  <c r="E390" i="2"/>
  <c r="E391" i="2"/>
  <c r="E392" i="2"/>
  <c r="G392" i="2" s="1"/>
  <c r="I392" i="2" s="1"/>
  <c r="E393" i="2"/>
  <c r="E394" i="2"/>
  <c r="E395" i="2"/>
  <c r="E396" i="2"/>
  <c r="G396" i="2" s="1"/>
  <c r="E397" i="2"/>
  <c r="E398" i="2"/>
  <c r="E399" i="2"/>
  <c r="E400" i="2"/>
  <c r="G400" i="2" s="1"/>
  <c r="E401" i="2"/>
  <c r="E402" i="2"/>
  <c r="E403" i="2"/>
  <c r="E404" i="2"/>
  <c r="G404" i="2" s="1"/>
  <c r="E405" i="2"/>
  <c r="E406" i="2"/>
  <c r="E407" i="2"/>
  <c r="E408" i="2"/>
  <c r="G408" i="2" s="1"/>
  <c r="E409" i="2"/>
  <c r="E410" i="2"/>
  <c r="E411" i="2"/>
  <c r="E412" i="2"/>
  <c r="G412" i="2" s="1"/>
  <c r="E413" i="2"/>
  <c r="E414" i="2"/>
  <c r="E415" i="2"/>
  <c r="E416" i="2"/>
  <c r="G416" i="2" s="1"/>
  <c r="E417" i="2"/>
  <c r="E418" i="2"/>
  <c r="E419" i="2"/>
  <c r="E420" i="2"/>
  <c r="G420" i="2" s="1"/>
  <c r="I420" i="2" s="1"/>
  <c r="E421" i="2"/>
  <c r="E422" i="2"/>
  <c r="E423" i="2"/>
  <c r="E424" i="2"/>
  <c r="G424" i="2" s="1"/>
  <c r="E425" i="2"/>
  <c r="E426" i="2"/>
  <c r="E427" i="2"/>
  <c r="E428" i="2"/>
  <c r="G428" i="2" s="1"/>
  <c r="E429" i="2"/>
  <c r="E430" i="2"/>
  <c r="E431" i="2"/>
  <c r="E432" i="2"/>
  <c r="G432" i="2" s="1"/>
  <c r="E433" i="2"/>
  <c r="E434" i="2"/>
  <c r="E435" i="2"/>
  <c r="E436" i="2"/>
  <c r="G436" i="2" s="1"/>
  <c r="E437" i="2"/>
  <c r="E438" i="2"/>
  <c r="E439" i="2"/>
  <c r="E440" i="2"/>
  <c r="G440" i="2" s="1"/>
  <c r="E441" i="2"/>
  <c r="E442" i="2"/>
  <c r="E443" i="2"/>
  <c r="E444" i="2"/>
  <c r="G444" i="2" s="1"/>
  <c r="E445" i="2"/>
  <c r="E446" i="2"/>
  <c r="E447" i="2"/>
  <c r="E448" i="2"/>
  <c r="G448" i="2" s="1"/>
  <c r="E449" i="2"/>
  <c r="E450" i="2"/>
  <c r="E451" i="2"/>
  <c r="E452" i="2"/>
  <c r="G452" i="2" s="1"/>
  <c r="E453" i="2"/>
  <c r="E454" i="2"/>
  <c r="E455" i="2"/>
  <c r="E456" i="2"/>
  <c r="G456" i="2" s="1"/>
  <c r="E457" i="2"/>
  <c r="E458" i="2"/>
  <c r="E459" i="2"/>
  <c r="E460" i="2"/>
  <c r="G460" i="2" s="1"/>
  <c r="E461" i="2"/>
  <c r="E462" i="2"/>
  <c r="E463" i="2"/>
  <c r="E464" i="2"/>
  <c r="G464" i="2" s="1"/>
  <c r="E465" i="2"/>
  <c r="E466" i="2"/>
  <c r="E467" i="2"/>
  <c r="E468" i="2"/>
  <c r="G468" i="2" s="1"/>
  <c r="E469" i="2"/>
  <c r="E470" i="2"/>
  <c r="E471" i="2"/>
  <c r="E472" i="2"/>
  <c r="G472" i="2" s="1"/>
  <c r="E473" i="2"/>
  <c r="E474" i="2"/>
  <c r="E475" i="2"/>
  <c r="E476" i="2"/>
  <c r="G476" i="2" s="1"/>
  <c r="E477" i="2"/>
  <c r="E478" i="2"/>
  <c r="E479" i="2"/>
  <c r="E480" i="2"/>
  <c r="G480" i="2" s="1"/>
  <c r="E481" i="2"/>
  <c r="E482" i="2"/>
  <c r="E483" i="2"/>
  <c r="E484" i="2"/>
  <c r="G484" i="2" s="1"/>
  <c r="E485" i="2"/>
  <c r="E486" i="2"/>
  <c r="E487" i="2"/>
  <c r="E488" i="2"/>
  <c r="G488" i="2" s="1"/>
  <c r="E489" i="2"/>
  <c r="E490" i="2"/>
  <c r="E491" i="2"/>
  <c r="E492" i="2"/>
  <c r="G492" i="2" s="1"/>
  <c r="E493" i="2"/>
  <c r="E494" i="2"/>
  <c r="E495" i="2"/>
  <c r="E496" i="2"/>
  <c r="G496" i="2" s="1"/>
  <c r="E497" i="2"/>
  <c r="E498" i="2"/>
  <c r="E499" i="2"/>
  <c r="E500" i="2"/>
  <c r="G500" i="2" s="1"/>
  <c r="E501" i="2"/>
  <c r="D7" i="2"/>
  <c r="D8" i="2"/>
  <c r="D9" i="2"/>
  <c r="G9" i="2" s="1"/>
  <c r="D10" i="2"/>
  <c r="G10" i="2" s="1"/>
  <c r="D11" i="2"/>
  <c r="D12" i="2"/>
  <c r="D13" i="2"/>
  <c r="G13" i="2" s="1"/>
  <c r="D14" i="2"/>
  <c r="G14" i="2" s="1"/>
  <c r="D15" i="2"/>
  <c r="G15" i="2" s="1"/>
  <c r="D16" i="2"/>
  <c r="D17" i="2"/>
  <c r="G17" i="2" s="1"/>
  <c r="D18" i="2"/>
  <c r="D19" i="2"/>
  <c r="G19" i="2" s="1"/>
  <c r="D20" i="2"/>
  <c r="D21" i="2"/>
  <c r="G21" i="2" s="1"/>
  <c r="D22" i="2"/>
  <c r="D23" i="2"/>
  <c r="D24" i="2"/>
  <c r="D25" i="2"/>
  <c r="G25" i="2" s="1"/>
  <c r="D26" i="2"/>
  <c r="G26" i="2" s="1"/>
  <c r="D27" i="2"/>
  <c r="D28" i="2"/>
  <c r="D29" i="2"/>
  <c r="G29" i="2" s="1"/>
  <c r="D30" i="2"/>
  <c r="G30" i="2" s="1"/>
  <c r="D31" i="2"/>
  <c r="G31" i="2" s="1"/>
  <c r="D32" i="2"/>
  <c r="D33" i="2"/>
  <c r="G33" i="2" s="1"/>
  <c r="D34" i="2"/>
  <c r="G34" i="2" s="1"/>
  <c r="D35" i="2"/>
  <c r="G35" i="2" s="1"/>
  <c r="D36" i="2"/>
  <c r="D37" i="2"/>
  <c r="G37" i="2" s="1"/>
  <c r="H37" i="2" s="1"/>
  <c r="D38" i="2"/>
  <c r="G38" i="2" s="1"/>
  <c r="D39" i="2"/>
  <c r="D40" i="2"/>
  <c r="D41" i="2"/>
  <c r="G41" i="2" s="1"/>
  <c r="D42" i="2"/>
  <c r="G42" i="2" s="1"/>
  <c r="D43" i="2"/>
  <c r="D44" i="2"/>
  <c r="D45" i="2"/>
  <c r="G45" i="2" s="1"/>
  <c r="D46" i="2"/>
  <c r="G46" i="2" s="1"/>
  <c r="D47" i="2"/>
  <c r="G47" i="2" s="1"/>
  <c r="D48" i="2"/>
  <c r="D49" i="2"/>
  <c r="G49" i="2" s="1"/>
  <c r="D50" i="2"/>
  <c r="D51" i="2"/>
  <c r="G51" i="2" s="1"/>
  <c r="D52" i="2"/>
  <c r="D53" i="2"/>
  <c r="G53" i="2" s="1"/>
  <c r="D54" i="2"/>
  <c r="D55" i="2"/>
  <c r="D56" i="2"/>
  <c r="D57" i="2"/>
  <c r="G57" i="2" s="1"/>
  <c r="I57" i="2" s="1"/>
  <c r="D58" i="2"/>
  <c r="G58" i="2" s="1"/>
  <c r="D59" i="2"/>
  <c r="D60" i="2"/>
  <c r="D61" i="2"/>
  <c r="G61" i="2" s="1"/>
  <c r="D62" i="2"/>
  <c r="G62" i="2" s="1"/>
  <c r="D63" i="2"/>
  <c r="G63" i="2" s="1"/>
  <c r="D64" i="2"/>
  <c r="D65" i="2"/>
  <c r="G65" i="2" s="1"/>
  <c r="D66" i="2"/>
  <c r="G66" i="2" s="1"/>
  <c r="D67" i="2"/>
  <c r="G67" i="2" s="1"/>
  <c r="D68" i="2"/>
  <c r="D69" i="2"/>
  <c r="G69" i="2" s="1"/>
  <c r="D70" i="2"/>
  <c r="G70" i="2" s="1"/>
  <c r="D71" i="2"/>
  <c r="D72" i="2"/>
  <c r="D73" i="2"/>
  <c r="G73" i="2" s="1"/>
  <c r="D74" i="2"/>
  <c r="G74" i="2" s="1"/>
  <c r="D75" i="2"/>
  <c r="D76" i="2"/>
  <c r="D77" i="2"/>
  <c r="G77" i="2" s="1"/>
  <c r="D78" i="2"/>
  <c r="G78" i="2" s="1"/>
  <c r="D79" i="2"/>
  <c r="G79" i="2" s="1"/>
  <c r="I79" i="2" s="1"/>
  <c r="D80" i="2"/>
  <c r="D81" i="2"/>
  <c r="G81" i="2" s="1"/>
  <c r="D82" i="2"/>
  <c r="D83" i="2"/>
  <c r="G83" i="2" s="1"/>
  <c r="D84" i="2"/>
  <c r="D85" i="2"/>
  <c r="G85" i="2" s="1"/>
  <c r="D86" i="2"/>
  <c r="D87" i="2"/>
  <c r="D88" i="2"/>
  <c r="D89" i="2"/>
  <c r="G89" i="2" s="1"/>
  <c r="D90" i="2"/>
  <c r="G90" i="2" s="1"/>
  <c r="D91" i="2"/>
  <c r="D92" i="2"/>
  <c r="D93" i="2"/>
  <c r="G93" i="2" s="1"/>
  <c r="D94" i="2"/>
  <c r="G94" i="2" s="1"/>
  <c r="D95" i="2"/>
  <c r="G95" i="2" s="1"/>
  <c r="D96" i="2"/>
  <c r="D97" i="2"/>
  <c r="G97" i="2" s="1"/>
  <c r="D98" i="2"/>
  <c r="G98" i="2" s="1"/>
  <c r="D99" i="2"/>
  <c r="G99" i="2" s="1"/>
  <c r="D100" i="2"/>
  <c r="D101" i="2"/>
  <c r="G101" i="2" s="1"/>
  <c r="D102" i="2"/>
  <c r="G102" i="2" s="1"/>
  <c r="D103" i="2"/>
  <c r="D104" i="2"/>
  <c r="D105" i="2"/>
  <c r="G105" i="2" s="1"/>
  <c r="D106" i="2"/>
  <c r="G106" i="2" s="1"/>
  <c r="D107" i="2"/>
  <c r="D108" i="2"/>
  <c r="D109" i="2"/>
  <c r="G109" i="2" s="1"/>
  <c r="D110" i="2"/>
  <c r="G110" i="2" s="1"/>
  <c r="D111" i="2"/>
  <c r="G111" i="2" s="1"/>
  <c r="D112" i="2"/>
  <c r="D113" i="2"/>
  <c r="G113" i="2" s="1"/>
  <c r="D114" i="2"/>
  <c r="D115" i="2"/>
  <c r="G115" i="2" s="1"/>
  <c r="D116" i="2"/>
  <c r="D117" i="2"/>
  <c r="G117" i="2" s="1"/>
  <c r="D118" i="2"/>
  <c r="D119" i="2"/>
  <c r="D120" i="2"/>
  <c r="D121" i="2"/>
  <c r="G121" i="2" s="1"/>
  <c r="I121" i="2" s="1"/>
  <c r="D122" i="2"/>
  <c r="G122" i="2" s="1"/>
  <c r="D123" i="2"/>
  <c r="D124" i="2"/>
  <c r="D125" i="2"/>
  <c r="G125" i="2" s="1"/>
  <c r="D126" i="2"/>
  <c r="G126" i="2" s="1"/>
  <c r="D127" i="2"/>
  <c r="G127" i="2" s="1"/>
  <c r="D128" i="2"/>
  <c r="D129" i="2"/>
  <c r="G129" i="2" s="1"/>
  <c r="D130" i="2"/>
  <c r="G130" i="2" s="1"/>
  <c r="D131" i="2"/>
  <c r="G131" i="2" s="1"/>
  <c r="D132" i="2"/>
  <c r="D133" i="2"/>
  <c r="G133" i="2" s="1"/>
  <c r="D134" i="2"/>
  <c r="G134" i="2" s="1"/>
  <c r="D135" i="2"/>
  <c r="D136" i="2"/>
  <c r="D137" i="2"/>
  <c r="G137" i="2" s="1"/>
  <c r="D138" i="2"/>
  <c r="G138" i="2" s="1"/>
  <c r="H138" i="2" s="1"/>
  <c r="D139" i="2"/>
  <c r="D140" i="2"/>
  <c r="D141" i="2"/>
  <c r="G141" i="2" s="1"/>
  <c r="D142" i="2"/>
  <c r="G142" i="2" s="1"/>
  <c r="D143" i="2"/>
  <c r="G143" i="2" s="1"/>
  <c r="I143" i="2" s="1"/>
  <c r="D144" i="2"/>
  <c r="D145" i="2"/>
  <c r="G145" i="2" s="1"/>
  <c r="D146" i="2"/>
  <c r="D147" i="2"/>
  <c r="G147" i="2" s="1"/>
  <c r="D148" i="2"/>
  <c r="D149" i="2"/>
  <c r="G149" i="2" s="1"/>
  <c r="D150" i="2"/>
  <c r="D151" i="2"/>
  <c r="D152" i="2"/>
  <c r="D153" i="2"/>
  <c r="G153" i="2" s="1"/>
  <c r="D154" i="2"/>
  <c r="G154" i="2" s="1"/>
  <c r="D155" i="2"/>
  <c r="D156" i="2"/>
  <c r="D157" i="2"/>
  <c r="G157" i="2" s="1"/>
  <c r="D158" i="2"/>
  <c r="G158" i="2" s="1"/>
  <c r="D159" i="2"/>
  <c r="G159" i="2" s="1"/>
  <c r="D160" i="2"/>
  <c r="D161" i="2"/>
  <c r="G161" i="2" s="1"/>
  <c r="D162" i="2"/>
  <c r="G162" i="2" s="1"/>
  <c r="D163" i="2"/>
  <c r="G163" i="2" s="1"/>
  <c r="D164" i="2"/>
  <c r="D165" i="2"/>
  <c r="G165" i="2" s="1"/>
  <c r="D166" i="2"/>
  <c r="G166" i="2" s="1"/>
  <c r="D167" i="2"/>
  <c r="D168" i="2"/>
  <c r="D169" i="2"/>
  <c r="G169" i="2" s="1"/>
  <c r="D170" i="2"/>
  <c r="G170" i="2" s="1"/>
  <c r="D171" i="2"/>
  <c r="D172" i="2"/>
  <c r="D173" i="2"/>
  <c r="G173" i="2" s="1"/>
  <c r="D174" i="2"/>
  <c r="G174" i="2" s="1"/>
  <c r="D175" i="2"/>
  <c r="G175" i="2" s="1"/>
  <c r="D176" i="2"/>
  <c r="D177" i="2"/>
  <c r="G177" i="2" s="1"/>
  <c r="D178" i="2"/>
  <c r="D179" i="2"/>
  <c r="G179" i="2" s="1"/>
  <c r="I179" i="2" s="1"/>
  <c r="D180" i="2"/>
  <c r="D181" i="2"/>
  <c r="G181" i="2" s="1"/>
  <c r="D182" i="2"/>
  <c r="D183" i="2"/>
  <c r="D184" i="2"/>
  <c r="D185" i="2"/>
  <c r="G185" i="2" s="1"/>
  <c r="D186" i="2"/>
  <c r="G186" i="2" s="1"/>
  <c r="D187" i="2"/>
  <c r="D188" i="2"/>
  <c r="D189" i="2"/>
  <c r="G189" i="2" s="1"/>
  <c r="H189" i="2" s="1"/>
  <c r="D190" i="2"/>
  <c r="G190" i="2" s="1"/>
  <c r="D191" i="2"/>
  <c r="G191" i="2" s="1"/>
  <c r="D192" i="2"/>
  <c r="D193" i="2"/>
  <c r="G193" i="2" s="1"/>
  <c r="I193" i="2" s="1"/>
  <c r="D194" i="2"/>
  <c r="G194" i="2" s="1"/>
  <c r="D195" i="2"/>
  <c r="G195" i="2" s="1"/>
  <c r="D196" i="2"/>
  <c r="D197" i="2"/>
  <c r="G197" i="2" s="1"/>
  <c r="D198" i="2"/>
  <c r="G198" i="2" s="1"/>
  <c r="D199" i="2"/>
  <c r="D200" i="2"/>
  <c r="D201" i="2"/>
  <c r="G201" i="2" s="1"/>
  <c r="D202" i="2"/>
  <c r="G202" i="2" s="1"/>
  <c r="D203" i="2"/>
  <c r="D204" i="2"/>
  <c r="D205" i="2"/>
  <c r="G205" i="2" s="1"/>
  <c r="D206" i="2"/>
  <c r="G206" i="2" s="1"/>
  <c r="D207" i="2"/>
  <c r="G207" i="2" s="1"/>
  <c r="I207" i="2" s="1"/>
  <c r="D208" i="2"/>
  <c r="D209" i="2"/>
  <c r="G209" i="2" s="1"/>
  <c r="D210" i="2"/>
  <c r="D211" i="2"/>
  <c r="G211" i="2" s="1"/>
  <c r="D212" i="2"/>
  <c r="D213" i="2"/>
  <c r="G213" i="2" s="1"/>
  <c r="D214" i="2"/>
  <c r="D215" i="2"/>
  <c r="D216" i="2"/>
  <c r="D217" i="2"/>
  <c r="G217" i="2" s="1"/>
  <c r="D218" i="2"/>
  <c r="G218" i="2" s="1"/>
  <c r="D219" i="2"/>
  <c r="D220" i="2"/>
  <c r="D221" i="2"/>
  <c r="G221" i="2" s="1"/>
  <c r="I221" i="2" s="1"/>
  <c r="D222" i="2"/>
  <c r="G222" i="2" s="1"/>
  <c r="D223" i="2"/>
  <c r="G223" i="2" s="1"/>
  <c r="D224" i="2"/>
  <c r="D225" i="2"/>
  <c r="G225" i="2" s="1"/>
  <c r="D226" i="2"/>
  <c r="G226" i="2" s="1"/>
  <c r="D227" i="2"/>
  <c r="G227" i="2" s="1"/>
  <c r="D228" i="2"/>
  <c r="D229" i="2"/>
  <c r="G229" i="2" s="1"/>
  <c r="D230" i="2"/>
  <c r="G230" i="2" s="1"/>
  <c r="D231" i="2"/>
  <c r="D232" i="2"/>
  <c r="D233" i="2"/>
  <c r="G233" i="2" s="1"/>
  <c r="D234" i="2"/>
  <c r="G234" i="2" s="1"/>
  <c r="D235" i="2"/>
  <c r="D236" i="2"/>
  <c r="D237" i="2"/>
  <c r="G237" i="2" s="1"/>
  <c r="D238" i="2"/>
  <c r="G238" i="2" s="1"/>
  <c r="H238" i="2" s="1"/>
  <c r="D239" i="2"/>
  <c r="G239" i="2" s="1"/>
  <c r="D240" i="2"/>
  <c r="D241" i="2"/>
  <c r="G241" i="2" s="1"/>
  <c r="D242" i="2"/>
  <c r="D243" i="2"/>
  <c r="G243" i="2" s="1"/>
  <c r="D244" i="2"/>
  <c r="D245" i="2"/>
  <c r="G245" i="2" s="1"/>
  <c r="D246" i="2"/>
  <c r="D247" i="2"/>
  <c r="D248" i="2"/>
  <c r="D249" i="2"/>
  <c r="G249" i="2" s="1"/>
  <c r="I249" i="2" s="1"/>
  <c r="D250" i="2"/>
  <c r="G250" i="2" s="1"/>
  <c r="D251" i="2"/>
  <c r="D252" i="2"/>
  <c r="D253" i="2"/>
  <c r="G253" i="2" s="1"/>
  <c r="D254" i="2"/>
  <c r="G254" i="2" s="1"/>
  <c r="D255" i="2"/>
  <c r="G255" i="2" s="1"/>
  <c r="D256" i="2"/>
  <c r="D257" i="2"/>
  <c r="G257" i="2" s="1"/>
  <c r="D258" i="2"/>
  <c r="G258" i="2" s="1"/>
  <c r="D259" i="2"/>
  <c r="G259" i="2" s="1"/>
  <c r="D260" i="2"/>
  <c r="D261" i="2"/>
  <c r="G261" i="2" s="1"/>
  <c r="D262" i="2"/>
  <c r="G262" i="2" s="1"/>
  <c r="D263" i="2"/>
  <c r="D264" i="2"/>
  <c r="D265" i="2"/>
  <c r="G265" i="2" s="1"/>
  <c r="D266" i="2"/>
  <c r="G266" i="2" s="1"/>
  <c r="D267" i="2"/>
  <c r="D268" i="2"/>
  <c r="D269" i="2"/>
  <c r="G269" i="2" s="1"/>
  <c r="D270" i="2"/>
  <c r="G270" i="2" s="1"/>
  <c r="D271" i="2"/>
  <c r="G271" i="2" s="1"/>
  <c r="D272" i="2"/>
  <c r="D273" i="2"/>
  <c r="G273" i="2" s="1"/>
  <c r="D274" i="2"/>
  <c r="D275" i="2"/>
  <c r="G275" i="2" s="1"/>
  <c r="D276" i="2"/>
  <c r="D277" i="2"/>
  <c r="G277" i="2" s="1"/>
  <c r="D278" i="2"/>
  <c r="D279" i="2"/>
  <c r="D280" i="2"/>
  <c r="D281" i="2"/>
  <c r="G281" i="2" s="1"/>
  <c r="D282" i="2"/>
  <c r="G282" i="2" s="1"/>
  <c r="D283" i="2"/>
  <c r="D284" i="2"/>
  <c r="D285" i="2"/>
  <c r="G285" i="2" s="1"/>
  <c r="D286" i="2"/>
  <c r="G286" i="2" s="1"/>
  <c r="D287" i="2"/>
  <c r="G287" i="2" s="1"/>
  <c r="D288" i="2"/>
  <c r="D289" i="2"/>
  <c r="G289" i="2" s="1"/>
  <c r="D290" i="2"/>
  <c r="G290" i="2" s="1"/>
  <c r="D291" i="2"/>
  <c r="G291" i="2" s="1"/>
  <c r="D292" i="2"/>
  <c r="D293" i="2"/>
  <c r="G293" i="2" s="1"/>
  <c r="D294" i="2"/>
  <c r="G294" i="2" s="1"/>
  <c r="D295" i="2"/>
  <c r="D296" i="2"/>
  <c r="D297" i="2"/>
  <c r="G297" i="2" s="1"/>
  <c r="D298" i="2"/>
  <c r="G298" i="2" s="1"/>
  <c r="D299" i="2"/>
  <c r="D300" i="2"/>
  <c r="D301" i="2"/>
  <c r="G301" i="2" s="1"/>
  <c r="D302" i="2"/>
  <c r="G302" i="2" s="1"/>
  <c r="D303" i="2"/>
  <c r="G303" i="2" s="1"/>
  <c r="D304" i="2"/>
  <c r="D305" i="2"/>
  <c r="G305" i="2" s="1"/>
  <c r="D306" i="2"/>
  <c r="D307" i="2"/>
  <c r="G307" i="2" s="1"/>
  <c r="I307" i="2" s="1"/>
  <c r="D308" i="2"/>
  <c r="D309" i="2"/>
  <c r="G309" i="2" s="1"/>
  <c r="D310" i="2"/>
  <c r="D311" i="2"/>
  <c r="D312" i="2"/>
  <c r="D313" i="2"/>
  <c r="G313" i="2" s="1"/>
  <c r="D314" i="2"/>
  <c r="G314" i="2" s="1"/>
  <c r="D315" i="2"/>
  <c r="D316" i="2"/>
  <c r="D317" i="2"/>
  <c r="G317" i="2" s="1"/>
  <c r="D318" i="2"/>
  <c r="G318" i="2" s="1"/>
  <c r="D319" i="2"/>
  <c r="G319" i="2" s="1"/>
  <c r="D320" i="2"/>
  <c r="D321" i="2"/>
  <c r="G321" i="2" s="1"/>
  <c r="I321" i="2" s="1"/>
  <c r="D322" i="2"/>
  <c r="G322" i="2" s="1"/>
  <c r="D323" i="2"/>
  <c r="G323" i="2" s="1"/>
  <c r="D324" i="2"/>
  <c r="D325" i="2"/>
  <c r="G325" i="2" s="1"/>
  <c r="D326" i="2"/>
  <c r="G326" i="2" s="1"/>
  <c r="D327" i="2"/>
  <c r="D328" i="2"/>
  <c r="D329" i="2"/>
  <c r="G329" i="2" s="1"/>
  <c r="D330" i="2"/>
  <c r="G330" i="2" s="1"/>
  <c r="D331" i="2"/>
  <c r="D332" i="2"/>
  <c r="D333" i="2"/>
  <c r="G333" i="2" s="1"/>
  <c r="D334" i="2"/>
  <c r="G334" i="2" s="1"/>
  <c r="D335" i="2"/>
  <c r="G335" i="2" s="1"/>
  <c r="I335" i="2" s="1"/>
  <c r="D336" i="2"/>
  <c r="D337" i="2"/>
  <c r="G337" i="2" s="1"/>
  <c r="D338" i="2"/>
  <c r="D339" i="2"/>
  <c r="G339" i="2" s="1"/>
  <c r="D340" i="2"/>
  <c r="D341" i="2"/>
  <c r="G341" i="2" s="1"/>
  <c r="H341" i="2" s="1"/>
  <c r="D342" i="2"/>
  <c r="D343" i="2"/>
  <c r="D344" i="2"/>
  <c r="D345" i="2"/>
  <c r="G345" i="2" s="1"/>
  <c r="D346" i="2"/>
  <c r="G346" i="2" s="1"/>
  <c r="D347" i="2"/>
  <c r="D348" i="2"/>
  <c r="D349" i="2"/>
  <c r="G349" i="2" s="1"/>
  <c r="I349" i="2" s="1"/>
  <c r="D350" i="2"/>
  <c r="G350" i="2" s="1"/>
  <c r="D351" i="2"/>
  <c r="G351" i="2" s="1"/>
  <c r="D352" i="2"/>
  <c r="D353" i="2"/>
  <c r="G353" i="2" s="1"/>
  <c r="D354" i="2"/>
  <c r="G354" i="2" s="1"/>
  <c r="D355" i="2"/>
  <c r="G355" i="2" s="1"/>
  <c r="D356" i="2"/>
  <c r="D357" i="2"/>
  <c r="G357" i="2" s="1"/>
  <c r="D358" i="2"/>
  <c r="G358" i="2" s="1"/>
  <c r="D359" i="2"/>
  <c r="D360" i="2"/>
  <c r="D361" i="2"/>
  <c r="G361" i="2" s="1"/>
  <c r="D362" i="2"/>
  <c r="G362" i="2" s="1"/>
  <c r="D363" i="2"/>
  <c r="D364" i="2"/>
  <c r="D365" i="2"/>
  <c r="G365" i="2" s="1"/>
  <c r="D366" i="2"/>
  <c r="G366" i="2" s="1"/>
  <c r="D367" i="2"/>
  <c r="G367" i="2" s="1"/>
  <c r="D368" i="2"/>
  <c r="D369" i="2"/>
  <c r="G369" i="2" s="1"/>
  <c r="D370" i="2"/>
  <c r="D371" i="2"/>
  <c r="G371" i="2" s="1"/>
  <c r="D372" i="2"/>
  <c r="D373" i="2"/>
  <c r="G373" i="2" s="1"/>
  <c r="D374" i="2"/>
  <c r="D375" i="2"/>
  <c r="D376" i="2"/>
  <c r="D377" i="2"/>
  <c r="G377" i="2" s="1"/>
  <c r="I377" i="2" s="1"/>
  <c r="D378" i="2"/>
  <c r="G378" i="2" s="1"/>
  <c r="D379" i="2"/>
  <c r="D380" i="2"/>
  <c r="D381" i="2"/>
  <c r="G381" i="2" s="1"/>
  <c r="D382" i="2"/>
  <c r="G382" i="2" s="1"/>
  <c r="D383" i="2"/>
  <c r="G383" i="2" s="1"/>
  <c r="D384" i="2"/>
  <c r="D385" i="2"/>
  <c r="G385" i="2" s="1"/>
  <c r="D386" i="2"/>
  <c r="G386" i="2" s="1"/>
  <c r="D387" i="2"/>
  <c r="G387" i="2" s="1"/>
  <c r="I387" i="2" s="1"/>
  <c r="D388" i="2"/>
  <c r="D389" i="2"/>
  <c r="G389" i="2" s="1"/>
  <c r="D390" i="2"/>
  <c r="G390" i="2" s="1"/>
  <c r="D391" i="2"/>
  <c r="D392" i="2"/>
  <c r="D393" i="2"/>
  <c r="G393" i="2" s="1"/>
  <c r="D394" i="2"/>
  <c r="G394" i="2" s="1"/>
  <c r="D395" i="2"/>
  <c r="D396" i="2"/>
  <c r="D397" i="2"/>
  <c r="G397" i="2" s="1"/>
  <c r="D398" i="2"/>
  <c r="G398" i="2" s="1"/>
  <c r="D399" i="2"/>
  <c r="G399" i="2" s="1"/>
  <c r="D400" i="2"/>
  <c r="D401" i="2"/>
  <c r="G401" i="2" s="1"/>
  <c r="I401" i="2" s="1"/>
  <c r="D402" i="2"/>
  <c r="D403" i="2"/>
  <c r="G403" i="2" s="1"/>
  <c r="D404" i="2"/>
  <c r="D405" i="2"/>
  <c r="G405" i="2" s="1"/>
  <c r="D406" i="2"/>
  <c r="D407" i="2"/>
  <c r="D408" i="2"/>
  <c r="D409" i="2"/>
  <c r="G409" i="2" s="1"/>
  <c r="D410" i="2"/>
  <c r="G410" i="2" s="1"/>
  <c r="D411" i="2"/>
  <c r="D412" i="2"/>
  <c r="D413" i="2"/>
  <c r="G413" i="2" s="1"/>
  <c r="D414" i="2"/>
  <c r="G414" i="2" s="1"/>
  <c r="D415" i="2"/>
  <c r="G415" i="2" s="1"/>
  <c r="I415" i="2" s="1"/>
  <c r="D416" i="2"/>
  <c r="D417" i="2"/>
  <c r="G417" i="2" s="1"/>
  <c r="D418" i="2"/>
  <c r="G418" i="2" s="1"/>
  <c r="D419" i="2"/>
  <c r="G419" i="2" s="1"/>
  <c r="D420" i="2"/>
  <c r="D421" i="2"/>
  <c r="G421" i="2" s="1"/>
  <c r="D422" i="2"/>
  <c r="G422" i="2" s="1"/>
  <c r="D423" i="2"/>
  <c r="D424" i="2"/>
  <c r="D425" i="2"/>
  <c r="G425" i="2" s="1"/>
  <c r="D426" i="2"/>
  <c r="G426" i="2" s="1"/>
  <c r="D427" i="2"/>
  <c r="D428" i="2"/>
  <c r="D429" i="2"/>
  <c r="G429" i="2" s="1"/>
  <c r="I429" i="2" s="1"/>
  <c r="D430" i="2"/>
  <c r="G430" i="2" s="1"/>
  <c r="D431" i="2"/>
  <c r="G431" i="2" s="1"/>
  <c r="D432" i="2"/>
  <c r="D433" i="2"/>
  <c r="G433" i="2" s="1"/>
  <c r="D434" i="2"/>
  <c r="D435" i="2"/>
  <c r="G435" i="2" s="1"/>
  <c r="I435" i="2" s="1"/>
  <c r="D436" i="2"/>
  <c r="D437" i="2"/>
  <c r="G437" i="2" s="1"/>
  <c r="D438" i="2"/>
  <c r="D439" i="2"/>
  <c r="D440" i="2"/>
  <c r="D441" i="2"/>
  <c r="G441" i="2" s="1"/>
  <c r="D442" i="2"/>
  <c r="G442" i="2" s="1"/>
  <c r="D443" i="2"/>
  <c r="D444" i="2"/>
  <c r="D445" i="2"/>
  <c r="G445" i="2" s="1"/>
  <c r="D446" i="2"/>
  <c r="G446" i="2" s="1"/>
  <c r="D447" i="2"/>
  <c r="G447" i="2" s="1"/>
  <c r="D448" i="2"/>
  <c r="D449" i="2"/>
  <c r="G449" i="2" s="1"/>
  <c r="I449" i="2" s="1"/>
  <c r="D450" i="2"/>
  <c r="G450" i="2" s="1"/>
  <c r="D451" i="2"/>
  <c r="G451" i="2" s="1"/>
  <c r="D452" i="2"/>
  <c r="D453" i="2"/>
  <c r="G453" i="2" s="1"/>
  <c r="D454" i="2"/>
  <c r="G454" i="2" s="1"/>
  <c r="D455" i="2"/>
  <c r="D456" i="2"/>
  <c r="D457" i="2"/>
  <c r="G457" i="2" s="1"/>
  <c r="D458" i="2"/>
  <c r="G458" i="2" s="1"/>
  <c r="D459" i="2"/>
  <c r="D460" i="2"/>
  <c r="D461" i="2"/>
  <c r="G461" i="2" s="1"/>
  <c r="D462" i="2"/>
  <c r="G462" i="2" s="1"/>
  <c r="D463" i="2"/>
  <c r="G463" i="2" s="1"/>
  <c r="D464" i="2"/>
  <c r="D465" i="2"/>
  <c r="G465" i="2" s="1"/>
  <c r="D466" i="2"/>
  <c r="D467" i="2"/>
  <c r="G467" i="2" s="1"/>
  <c r="D468" i="2"/>
  <c r="D469" i="2"/>
  <c r="G469" i="2" s="1"/>
  <c r="D470" i="2"/>
  <c r="D471" i="2"/>
  <c r="D472" i="2"/>
  <c r="D473" i="2"/>
  <c r="G473" i="2" s="1"/>
  <c r="D474" i="2"/>
  <c r="G474" i="2" s="1"/>
  <c r="D475" i="2"/>
  <c r="D476" i="2"/>
  <c r="D477" i="2"/>
  <c r="G477" i="2" s="1"/>
  <c r="I477" i="2" s="1"/>
  <c r="D478" i="2"/>
  <c r="G478" i="2" s="1"/>
  <c r="H478" i="2" s="1"/>
  <c r="D479" i="2"/>
  <c r="G479" i="2" s="1"/>
  <c r="D480" i="2"/>
  <c r="D481" i="2"/>
  <c r="G481" i="2" s="1"/>
  <c r="I481" i="2" s="1"/>
  <c r="D482" i="2"/>
  <c r="G482" i="2" s="1"/>
  <c r="D483" i="2"/>
  <c r="G483" i="2" s="1"/>
  <c r="D484" i="2"/>
  <c r="D485" i="2"/>
  <c r="G485" i="2" s="1"/>
  <c r="D486" i="2"/>
  <c r="G486" i="2" s="1"/>
  <c r="D487" i="2"/>
  <c r="D488" i="2"/>
  <c r="D489" i="2"/>
  <c r="G489" i="2" s="1"/>
  <c r="D490" i="2"/>
  <c r="G490" i="2" s="1"/>
  <c r="I490" i="2" s="1"/>
  <c r="D491" i="2"/>
  <c r="D492" i="2"/>
  <c r="D493" i="2"/>
  <c r="G493" i="2" s="1"/>
  <c r="D494" i="2"/>
  <c r="G494" i="2" s="1"/>
  <c r="D495" i="2"/>
  <c r="G495" i="2" s="1"/>
  <c r="I495" i="2" s="1"/>
  <c r="D496" i="2"/>
  <c r="D497" i="2"/>
  <c r="G497" i="2" s="1"/>
  <c r="I497" i="2" s="1"/>
  <c r="D498" i="2"/>
  <c r="D499" i="2"/>
  <c r="G499" i="2" s="1"/>
  <c r="D500" i="2"/>
  <c r="D501" i="2"/>
  <c r="G501" i="2" s="1"/>
  <c r="I501" i="2" s="1"/>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A501"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3" i="2"/>
  <c r="A4" i="2"/>
  <c r="A5" i="2"/>
  <c r="A6" i="2"/>
  <c r="F3" i="2"/>
  <c r="F4" i="2"/>
  <c r="F5" i="2"/>
  <c r="F6" i="2"/>
  <c r="F2" i="2"/>
  <c r="E3" i="2"/>
  <c r="E4" i="2"/>
  <c r="E5" i="2"/>
  <c r="E6" i="2"/>
  <c r="E2" i="2"/>
  <c r="D3" i="2"/>
  <c r="D4" i="2"/>
  <c r="D5" i="2"/>
  <c r="D6" i="2"/>
  <c r="G6" i="2" s="1"/>
  <c r="B2" i="2"/>
  <c r="B3" i="2"/>
  <c r="B4" i="2"/>
  <c r="B5" i="2"/>
  <c r="B6" i="2"/>
  <c r="A2" i="2"/>
  <c r="I496" i="2" l="1"/>
  <c r="H496" i="2"/>
  <c r="I492" i="2"/>
  <c r="H492" i="2"/>
  <c r="I480" i="2"/>
  <c r="H480" i="2"/>
  <c r="I476" i="2"/>
  <c r="H476" i="2"/>
  <c r="I464" i="2"/>
  <c r="H464" i="2"/>
  <c r="I460" i="2"/>
  <c r="H460" i="2"/>
  <c r="I448" i="2"/>
  <c r="H448" i="2"/>
  <c r="I444" i="2"/>
  <c r="H444" i="2"/>
  <c r="I432" i="2"/>
  <c r="H432" i="2"/>
  <c r="I428" i="2"/>
  <c r="H428" i="2"/>
  <c r="I416" i="2"/>
  <c r="H416" i="2"/>
  <c r="I412" i="2"/>
  <c r="H412" i="2"/>
  <c r="I400" i="2"/>
  <c r="H400" i="2"/>
  <c r="I396" i="2"/>
  <c r="H396" i="2"/>
  <c r="I384" i="2"/>
  <c r="H384" i="2"/>
  <c r="H380" i="2"/>
  <c r="I380" i="2"/>
  <c r="I368" i="2"/>
  <c r="H368" i="2"/>
  <c r="I364" i="2"/>
  <c r="H364" i="2"/>
  <c r="I352" i="2"/>
  <c r="H352" i="2"/>
  <c r="I348" i="2"/>
  <c r="H348" i="2"/>
  <c r="I336" i="2"/>
  <c r="H336" i="2"/>
  <c r="I332" i="2"/>
  <c r="H332" i="2"/>
  <c r="I320" i="2"/>
  <c r="H320" i="2"/>
  <c r="I316" i="2"/>
  <c r="H316" i="2"/>
  <c r="I304" i="2"/>
  <c r="H304" i="2"/>
  <c r="I300" i="2"/>
  <c r="H300" i="2"/>
  <c r="I288" i="2"/>
  <c r="H288" i="2"/>
  <c r="I284" i="2"/>
  <c r="H284" i="2"/>
  <c r="H272" i="2"/>
  <c r="I272" i="2"/>
  <c r="I268" i="2"/>
  <c r="H268" i="2"/>
  <c r="I256" i="2"/>
  <c r="H256" i="2"/>
  <c r="I252" i="2"/>
  <c r="H252" i="2"/>
  <c r="I240" i="2"/>
  <c r="H240" i="2"/>
  <c r="I236" i="2"/>
  <c r="H236" i="2"/>
  <c r="H224" i="2"/>
  <c r="I224" i="2"/>
  <c r="I220" i="2"/>
  <c r="H220" i="2"/>
  <c r="H208" i="2"/>
  <c r="I208" i="2"/>
  <c r="I204" i="2"/>
  <c r="H204" i="2"/>
  <c r="I192" i="2"/>
  <c r="H192" i="2"/>
  <c r="I188" i="2"/>
  <c r="H188" i="2"/>
  <c r="I176" i="2"/>
  <c r="H176" i="2"/>
  <c r="I172" i="2"/>
  <c r="H172" i="2"/>
  <c r="H160" i="2"/>
  <c r="I160" i="2"/>
  <c r="I156" i="2"/>
  <c r="H156" i="2"/>
  <c r="H144" i="2"/>
  <c r="I144" i="2"/>
  <c r="I140" i="2"/>
  <c r="H140" i="2"/>
  <c r="I128" i="2"/>
  <c r="H128" i="2"/>
  <c r="I124" i="2"/>
  <c r="H124" i="2"/>
  <c r="I112" i="2"/>
  <c r="H112" i="2"/>
  <c r="I108" i="2"/>
  <c r="H108" i="2"/>
  <c r="H96" i="2"/>
  <c r="I96" i="2"/>
  <c r="I92" i="2"/>
  <c r="H92" i="2"/>
  <c r="I80" i="2"/>
  <c r="H80" i="2"/>
  <c r="I76" i="2"/>
  <c r="H76" i="2"/>
  <c r="H64" i="2"/>
  <c r="I64" i="2"/>
  <c r="I60" i="2"/>
  <c r="H60" i="2"/>
  <c r="I48" i="2"/>
  <c r="H48" i="2"/>
  <c r="I44" i="2"/>
  <c r="H44" i="2"/>
  <c r="I32" i="2"/>
  <c r="H32" i="2"/>
  <c r="I28" i="2"/>
  <c r="H28" i="2"/>
  <c r="H16" i="2"/>
  <c r="I16" i="2"/>
  <c r="I12" i="2"/>
  <c r="H12" i="2"/>
  <c r="I486" i="2"/>
  <c r="H486" i="2"/>
  <c r="I482" i="2"/>
  <c r="H482" i="2"/>
  <c r="I454" i="2"/>
  <c r="H454" i="2"/>
  <c r="H450" i="2"/>
  <c r="I450" i="2"/>
  <c r="H422" i="2"/>
  <c r="I422" i="2"/>
  <c r="H418" i="2"/>
  <c r="I418" i="2"/>
  <c r="H390" i="2"/>
  <c r="I390" i="2"/>
  <c r="H386" i="2"/>
  <c r="I386" i="2"/>
  <c r="H358" i="2"/>
  <c r="I358" i="2"/>
  <c r="H354" i="2"/>
  <c r="I354" i="2"/>
  <c r="I326" i="2"/>
  <c r="H326" i="2"/>
  <c r="H322" i="2"/>
  <c r="I322" i="2"/>
  <c r="I294" i="2"/>
  <c r="H294" i="2"/>
  <c r="I290" i="2"/>
  <c r="H290" i="2"/>
  <c r="I262" i="2"/>
  <c r="H262" i="2"/>
  <c r="H258" i="2"/>
  <c r="I258" i="2"/>
  <c r="I230" i="2"/>
  <c r="H230" i="2"/>
  <c r="I226" i="2"/>
  <c r="H226" i="2"/>
  <c r="I198" i="2"/>
  <c r="H198" i="2"/>
  <c r="I194" i="2"/>
  <c r="H194" i="2"/>
  <c r="I166" i="2"/>
  <c r="H166" i="2"/>
  <c r="I162" i="2"/>
  <c r="H162" i="2"/>
  <c r="I134" i="2"/>
  <c r="H134" i="2"/>
  <c r="H130" i="2"/>
  <c r="I130" i="2"/>
  <c r="I102" i="2"/>
  <c r="H102" i="2"/>
  <c r="I98" i="2"/>
  <c r="H98" i="2"/>
  <c r="I70" i="2"/>
  <c r="H70" i="2"/>
  <c r="H66" i="2"/>
  <c r="I66" i="2"/>
  <c r="I38" i="2"/>
  <c r="H38" i="2"/>
  <c r="I34" i="2"/>
  <c r="H34" i="2"/>
  <c r="I493" i="2"/>
  <c r="H493" i="2"/>
  <c r="I473" i="2"/>
  <c r="H473" i="2"/>
  <c r="I465" i="2"/>
  <c r="H465" i="2"/>
  <c r="I457" i="2"/>
  <c r="H457" i="2"/>
  <c r="I453" i="2"/>
  <c r="H453" i="2"/>
  <c r="I445" i="2"/>
  <c r="H445" i="2"/>
  <c r="I437" i="2"/>
  <c r="H437" i="2"/>
  <c r="I433" i="2"/>
  <c r="H433" i="2"/>
  <c r="H425" i="2"/>
  <c r="I425" i="2"/>
  <c r="I417" i="2"/>
  <c r="H417" i="2"/>
  <c r="I413" i="2"/>
  <c r="H413" i="2"/>
  <c r="I405" i="2"/>
  <c r="H405" i="2"/>
  <c r="I397" i="2"/>
  <c r="H397" i="2"/>
  <c r="I389" i="2"/>
  <c r="H389" i="2"/>
  <c r="H369" i="2"/>
  <c r="I369" i="2"/>
  <c r="H361" i="2"/>
  <c r="I361" i="2"/>
  <c r="I357" i="2"/>
  <c r="H357" i="2"/>
  <c r="I353" i="2"/>
  <c r="H353" i="2"/>
  <c r="I345" i="2"/>
  <c r="H345" i="2"/>
  <c r="I337" i="2"/>
  <c r="H337" i="2"/>
  <c r="I313" i="2"/>
  <c r="H313" i="2"/>
  <c r="I305" i="2"/>
  <c r="H305" i="2"/>
  <c r="I297" i="2"/>
  <c r="H297" i="2"/>
  <c r="I289" i="2"/>
  <c r="H289" i="2"/>
  <c r="I281" i="2"/>
  <c r="H281" i="2"/>
  <c r="I273" i="2"/>
  <c r="H273" i="2"/>
  <c r="I261" i="2"/>
  <c r="H261" i="2"/>
  <c r="I241" i="2"/>
  <c r="H241" i="2"/>
  <c r="I233" i="2"/>
  <c r="H233" i="2"/>
  <c r="I217" i="2"/>
  <c r="H217" i="2"/>
  <c r="I209" i="2"/>
  <c r="H209" i="2"/>
  <c r="I201" i="2"/>
  <c r="H201" i="2"/>
  <c r="I197" i="2"/>
  <c r="H197" i="2"/>
  <c r="H181" i="2"/>
  <c r="I181" i="2"/>
  <c r="I169" i="2"/>
  <c r="H169" i="2"/>
  <c r="I161" i="2"/>
  <c r="H161" i="2"/>
  <c r="I153" i="2"/>
  <c r="H153" i="2"/>
  <c r="I145" i="2"/>
  <c r="H145" i="2"/>
  <c r="I137" i="2"/>
  <c r="H137" i="2"/>
  <c r="I129" i="2"/>
  <c r="H129" i="2"/>
  <c r="I125" i="2"/>
  <c r="H125" i="2"/>
  <c r="I117" i="2"/>
  <c r="H117" i="2"/>
  <c r="I109" i="2"/>
  <c r="H109" i="2"/>
  <c r="H101" i="2"/>
  <c r="I101" i="2"/>
  <c r="I93" i="2"/>
  <c r="H93" i="2"/>
  <c r="H85" i="2"/>
  <c r="I85" i="2"/>
  <c r="I77" i="2"/>
  <c r="H77" i="2"/>
  <c r="I69" i="2"/>
  <c r="H69" i="2"/>
  <c r="I45" i="2"/>
  <c r="H45" i="2"/>
  <c r="I29" i="2"/>
  <c r="H29" i="2"/>
  <c r="H21" i="2"/>
  <c r="I21" i="2"/>
  <c r="I17" i="2"/>
  <c r="H17" i="2"/>
  <c r="H9" i="2"/>
  <c r="I9" i="2"/>
  <c r="I488" i="2"/>
  <c r="H488" i="2"/>
  <c r="I468" i="2"/>
  <c r="H468" i="2"/>
  <c r="I452" i="2"/>
  <c r="H452" i="2"/>
  <c r="I408" i="2"/>
  <c r="H408" i="2"/>
  <c r="I404" i="2"/>
  <c r="H404" i="2"/>
  <c r="I388" i="2"/>
  <c r="H388" i="2"/>
  <c r="I376" i="2"/>
  <c r="H376" i="2"/>
  <c r="I360" i="2"/>
  <c r="H360" i="2"/>
  <c r="I344" i="2"/>
  <c r="H344" i="2"/>
  <c r="I308" i="2"/>
  <c r="H308" i="2"/>
  <c r="I280" i="2"/>
  <c r="H280" i="2"/>
  <c r="I248" i="2"/>
  <c r="H248" i="2"/>
  <c r="I232" i="2"/>
  <c r="H232" i="2"/>
  <c r="I216" i="2"/>
  <c r="H216" i="2"/>
  <c r="I196" i="2"/>
  <c r="H196" i="2"/>
  <c r="I184" i="2"/>
  <c r="H184" i="2"/>
  <c r="I168" i="2"/>
  <c r="H168" i="2"/>
  <c r="I152" i="2"/>
  <c r="H152" i="2"/>
  <c r="I136" i="2"/>
  <c r="H136" i="2"/>
  <c r="I120" i="2"/>
  <c r="H120" i="2"/>
  <c r="I116" i="2"/>
  <c r="H116" i="2"/>
  <c r="I104" i="2"/>
  <c r="H104" i="2"/>
  <c r="I72" i="2"/>
  <c r="H72" i="2"/>
  <c r="I52" i="2"/>
  <c r="H52" i="2"/>
  <c r="I20" i="2"/>
  <c r="H20" i="2"/>
  <c r="I8" i="2"/>
  <c r="H8" i="2"/>
  <c r="I491" i="2"/>
  <c r="H491" i="2"/>
  <c r="H438" i="2"/>
  <c r="I438" i="2"/>
  <c r="I363" i="2"/>
  <c r="H363" i="2"/>
  <c r="I342" i="2"/>
  <c r="H342" i="2"/>
  <c r="I331" i="2"/>
  <c r="H331" i="2"/>
  <c r="I310" i="2"/>
  <c r="H310" i="2"/>
  <c r="I267" i="2"/>
  <c r="H267" i="2"/>
  <c r="I246" i="2"/>
  <c r="H246" i="2"/>
  <c r="I203" i="2"/>
  <c r="H203" i="2"/>
  <c r="I182" i="2"/>
  <c r="H182" i="2"/>
  <c r="I139" i="2"/>
  <c r="H139" i="2"/>
  <c r="I118" i="2"/>
  <c r="H118" i="2"/>
  <c r="I75" i="2"/>
  <c r="H75" i="2"/>
  <c r="I43" i="2"/>
  <c r="H43" i="2"/>
  <c r="I22" i="2"/>
  <c r="H22" i="2"/>
  <c r="H401" i="2"/>
  <c r="H221" i="2"/>
  <c r="H164" i="2"/>
  <c r="H498" i="2"/>
  <c r="I498" i="2"/>
  <c r="H434" i="2"/>
  <c r="I434" i="2"/>
  <c r="I423" i="2"/>
  <c r="H423" i="2"/>
  <c r="I402" i="2"/>
  <c r="H402" i="2"/>
  <c r="I391" i="2"/>
  <c r="H391" i="2"/>
  <c r="H370" i="2"/>
  <c r="I370" i="2"/>
  <c r="H338" i="2"/>
  <c r="I338" i="2"/>
  <c r="I327" i="2"/>
  <c r="H327" i="2"/>
  <c r="H306" i="2"/>
  <c r="I306" i="2"/>
  <c r="I295" i="2"/>
  <c r="H295" i="2"/>
  <c r="H274" i="2"/>
  <c r="I274" i="2"/>
  <c r="I263" i="2"/>
  <c r="H263" i="2"/>
  <c r="I242" i="2"/>
  <c r="H242" i="2"/>
  <c r="I231" i="2"/>
  <c r="H231" i="2"/>
  <c r="H210" i="2"/>
  <c r="I210" i="2"/>
  <c r="I199" i="2"/>
  <c r="H199" i="2"/>
  <c r="H178" i="2"/>
  <c r="I178" i="2"/>
  <c r="I167" i="2"/>
  <c r="H167" i="2"/>
  <c r="I146" i="2"/>
  <c r="H146" i="2"/>
  <c r="I135" i="2"/>
  <c r="H135" i="2"/>
  <c r="H114" i="2"/>
  <c r="I114" i="2"/>
  <c r="I103" i="2"/>
  <c r="H103" i="2"/>
  <c r="H82" i="2"/>
  <c r="I82" i="2"/>
  <c r="I71" i="2"/>
  <c r="H71" i="2"/>
  <c r="H50" i="2"/>
  <c r="I50" i="2"/>
  <c r="I39" i="2"/>
  <c r="H39" i="2"/>
  <c r="I18" i="2"/>
  <c r="H18" i="2"/>
  <c r="I7" i="2"/>
  <c r="H7" i="2"/>
  <c r="H470" i="2"/>
  <c r="H449" i="2"/>
  <c r="H420" i="2"/>
  <c r="H392" i="2"/>
  <c r="H321" i="2"/>
  <c r="H264" i="2"/>
  <c r="H57" i="2"/>
  <c r="I292" i="2"/>
  <c r="I88" i="2"/>
  <c r="G4" i="2"/>
  <c r="I4" i="2" s="1"/>
  <c r="I499" i="2"/>
  <c r="H499" i="2"/>
  <c r="H483" i="2"/>
  <c r="I483" i="2"/>
  <c r="I479" i="2"/>
  <c r="H479" i="2"/>
  <c r="I467" i="2"/>
  <c r="H467" i="2"/>
  <c r="I463" i="2"/>
  <c r="H463" i="2"/>
  <c r="I451" i="2"/>
  <c r="H451" i="2"/>
  <c r="I447" i="2"/>
  <c r="H447" i="2"/>
  <c r="I431" i="2"/>
  <c r="H431" i="2"/>
  <c r="I419" i="2"/>
  <c r="H419" i="2"/>
  <c r="I403" i="2"/>
  <c r="H403" i="2"/>
  <c r="I399" i="2"/>
  <c r="H399" i="2"/>
  <c r="I383" i="2"/>
  <c r="H383" i="2"/>
  <c r="I371" i="2"/>
  <c r="H371" i="2"/>
  <c r="I367" i="2"/>
  <c r="H367" i="2"/>
  <c r="I355" i="2"/>
  <c r="H355" i="2"/>
  <c r="I351" i="2"/>
  <c r="H351" i="2"/>
  <c r="I339" i="2"/>
  <c r="H339" i="2"/>
  <c r="I323" i="2"/>
  <c r="H323" i="2"/>
  <c r="I319" i="2"/>
  <c r="H319" i="2"/>
  <c r="I303" i="2"/>
  <c r="H303" i="2"/>
  <c r="I291" i="2"/>
  <c r="H291" i="2"/>
  <c r="I287" i="2"/>
  <c r="H287" i="2"/>
  <c r="I275" i="2"/>
  <c r="H275" i="2"/>
  <c r="I271" i="2"/>
  <c r="H271" i="2"/>
  <c r="I259" i="2"/>
  <c r="H259" i="2"/>
  <c r="I255" i="2"/>
  <c r="H255" i="2"/>
  <c r="I243" i="2"/>
  <c r="H243" i="2"/>
  <c r="I239" i="2"/>
  <c r="H239" i="2"/>
  <c r="I227" i="2"/>
  <c r="H227" i="2"/>
  <c r="I223" i="2"/>
  <c r="H223" i="2"/>
  <c r="I211" i="2"/>
  <c r="H211" i="2"/>
  <c r="I195" i="2"/>
  <c r="H195" i="2"/>
  <c r="I191" i="2"/>
  <c r="H191" i="2"/>
  <c r="I175" i="2"/>
  <c r="H175" i="2"/>
  <c r="I163" i="2"/>
  <c r="H163" i="2"/>
  <c r="I159" i="2"/>
  <c r="H159" i="2"/>
  <c r="I147" i="2"/>
  <c r="H147" i="2"/>
  <c r="I131" i="2"/>
  <c r="H131" i="2"/>
  <c r="I127" i="2"/>
  <c r="H127" i="2"/>
  <c r="I115" i="2"/>
  <c r="H115" i="2"/>
  <c r="I111" i="2"/>
  <c r="H111" i="2"/>
  <c r="I99" i="2"/>
  <c r="H99" i="2"/>
  <c r="I95" i="2"/>
  <c r="H95" i="2"/>
  <c r="I83" i="2"/>
  <c r="H83" i="2"/>
  <c r="I67" i="2"/>
  <c r="H67" i="2"/>
  <c r="I63" i="2"/>
  <c r="H63" i="2"/>
  <c r="I51" i="2"/>
  <c r="H51" i="2"/>
  <c r="I47" i="2"/>
  <c r="H47" i="2"/>
  <c r="I35" i="2"/>
  <c r="H35" i="2"/>
  <c r="I31" i="2"/>
  <c r="H31" i="2"/>
  <c r="I19" i="2"/>
  <c r="H19" i="2"/>
  <c r="I15" i="2"/>
  <c r="H15" i="2"/>
  <c r="I475" i="2"/>
  <c r="H475" i="2"/>
  <c r="H443" i="2"/>
  <c r="I443" i="2"/>
  <c r="I411" i="2"/>
  <c r="H411" i="2"/>
  <c r="I379" i="2"/>
  <c r="H379" i="2"/>
  <c r="I347" i="2"/>
  <c r="H347" i="2"/>
  <c r="I315" i="2"/>
  <c r="H315" i="2"/>
  <c r="I283" i="2"/>
  <c r="H283" i="2"/>
  <c r="I251" i="2"/>
  <c r="H251" i="2"/>
  <c r="I219" i="2"/>
  <c r="H219" i="2"/>
  <c r="I187" i="2"/>
  <c r="H187" i="2"/>
  <c r="I155" i="2"/>
  <c r="H155" i="2"/>
  <c r="I123" i="2"/>
  <c r="H123" i="2"/>
  <c r="I91" i="2"/>
  <c r="H91" i="2"/>
  <c r="I59" i="2"/>
  <c r="H59" i="2"/>
  <c r="I27" i="2"/>
  <c r="H27" i="2"/>
  <c r="H501" i="2"/>
  <c r="H487" i="2"/>
  <c r="H466" i="2"/>
  <c r="H415" i="2"/>
  <c r="H387" i="2"/>
  <c r="H359" i="2"/>
  <c r="H307" i="2"/>
  <c r="H249" i="2"/>
  <c r="H193" i="2"/>
  <c r="H121" i="2"/>
  <c r="H36" i="2"/>
  <c r="I238" i="2"/>
  <c r="I37" i="2"/>
  <c r="I489" i="2"/>
  <c r="H489" i="2"/>
  <c r="I485" i="2"/>
  <c r="H485" i="2"/>
  <c r="I469" i="2"/>
  <c r="H469" i="2"/>
  <c r="I461" i="2"/>
  <c r="H461" i="2"/>
  <c r="H441" i="2"/>
  <c r="I441" i="2"/>
  <c r="I421" i="2"/>
  <c r="H421" i="2"/>
  <c r="I409" i="2"/>
  <c r="H409" i="2"/>
  <c r="I393" i="2"/>
  <c r="H393" i="2"/>
  <c r="I385" i="2"/>
  <c r="H385" i="2"/>
  <c r="I381" i="2"/>
  <c r="H381" i="2"/>
  <c r="I373" i="2"/>
  <c r="H373" i="2"/>
  <c r="I365" i="2"/>
  <c r="H365" i="2"/>
  <c r="I333" i="2"/>
  <c r="H333" i="2"/>
  <c r="I329" i="2"/>
  <c r="H329" i="2"/>
  <c r="I325" i="2"/>
  <c r="H325" i="2"/>
  <c r="I317" i="2"/>
  <c r="H317" i="2"/>
  <c r="H309" i="2"/>
  <c r="I309" i="2"/>
  <c r="I301" i="2"/>
  <c r="H301" i="2"/>
  <c r="I293" i="2"/>
  <c r="H293" i="2"/>
  <c r="I285" i="2"/>
  <c r="H285" i="2"/>
  <c r="H277" i="2"/>
  <c r="I277" i="2"/>
  <c r="I269" i="2"/>
  <c r="H269" i="2"/>
  <c r="H265" i="2"/>
  <c r="I265" i="2"/>
  <c r="I257" i="2"/>
  <c r="H257" i="2"/>
  <c r="I253" i="2"/>
  <c r="H253" i="2"/>
  <c r="H245" i="2"/>
  <c r="I245" i="2"/>
  <c r="I237" i="2"/>
  <c r="H237" i="2"/>
  <c r="I229" i="2"/>
  <c r="H229" i="2"/>
  <c r="I225" i="2"/>
  <c r="H225" i="2"/>
  <c r="I213" i="2"/>
  <c r="H213" i="2"/>
  <c r="I205" i="2"/>
  <c r="H205" i="2"/>
  <c r="I185" i="2"/>
  <c r="H185" i="2"/>
  <c r="I177" i="2"/>
  <c r="H177" i="2"/>
  <c r="I173" i="2"/>
  <c r="H173" i="2"/>
  <c r="I165" i="2"/>
  <c r="H165" i="2"/>
  <c r="I157" i="2"/>
  <c r="H157" i="2"/>
  <c r="H149" i="2"/>
  <c r="I149" i="2"/>
  <c r="I141" i="2"/>
  <c r="H141" i="2"/>
  <c r="I133" i="2"/>
  <c r="H133" i="2"/>
  <c r="I113" i="2"/>
  <c r="H113" i="2"/>
  <c r="I105" i="2"/>
  <c r="H105" i="2"/>
  <c r="I97" i="2"/>
  <c r="H97" i="2"/>
  <c r="I89" i="2"/>
  <c r="H89" i="2"/>
  <c r="I81" i="2"/>
  <c r="H81" i="2"/>
  <c r="H73" i="2"/>
  <c r="I73" i="2"/>
  <c r="I65" i="2"/>
  <c r="H65" i="2"/>
  <c r="I61" i="2"/>
  <c r="H61" i="2"/>
  <c r="I53" i="2"/>
  <c r="H53" i="2"/>
  <c r="I49" i="2"/>
  <c r="H49" i="2"/>
  <c r="I41" i="2"/>
  <c r="H41" i="2"/>
  <c r="I33" i="2"/>
  <c r="H33" i="2"/>
  <c r="I25" i="2"/>
  <c r="H25" i="2"/>
  <c r="I13" i="2"/>
  <c r="H13" i="2"/>
  <c r="I500" i="2"/>
  <c r="H500" i="2"/>
  <c r="I484" i="2"/>
  <c r="H484" i="2"/>
  <c r="I472" i="2"/>
  <c r="H472" i="2"/>
  <c r="I456" i="2"/>
  <c r="H456" i="2"/>
  <c r="I440" i="2"/>
  <c r="H440" i="2"/>
  <c r="I436" i="2"/>
  <c r="H436" i="2"/>
  <c r="I424" i="2"/>
  <c r="H424" i="2"/>
  <c r="I356" i="2"/>
  <c r="H356" i="2"/>
  <c r="I340" i="2"/>
  <c r="H340" i="2"/>
  <c r="I328" i="2"/>
  <c r="H328" i="2"/>
  <c r="H324" i="2"/>
  <c r="I324" i="2"/>
  <c r="I312" i="2"/>
  <c r="H312" i="2"/>
  <c r="I296" i="2"/>
  <c r="H296" i="2"/>
  <c r="I276" i="2"/>
  <c r="H276" i="2"/>
  <c r="I260" i="2"/>
  <c r="H260" i="2"/>
  <c r="I244" i="2"/>
  <c r="H244" i="2"/>
  <c r="I228" i="2"/>
  <c r="H228" i="2"/>
  <c r="I212" i="2"/>
  <c r="H212" i="2"/>
  <c r="I200" i="2"/>
  <c r="H200" i="2"/>
  <c r="I180" i="2"/>
  <c r="H180" i="2"/>
  <c r="I148" i="2"/>
  <c r="H148" i="2"/>
  <c r="I132" i="2"/>
  <c r="H132" i="2"/>
  <c r="I84" i="2"/>
  <c r="H84" i="2"/>
  <c r="I68" i="2"/>
  <c r="H68" i="2"/>
  <c r="I56" i="2"/>
  <c r="H56" i="2"/>
  <c r="I40" i="2"/>
  <c r="H40" i="2"/>
  <c r="I24" i="2"/>
  <c r="H24" i="2"/>
  <c r="I427" i="2"/>
  <c r="H427" i="2"/>
  <c r="H406" i="2"/>
  <c r="I406" i="2"/>
  <c r="I395" i="2"/>
  <c r="H395" i="2"/>
  <c r="I374" i="2"/>
  <c r="H374" i="2"/>
  <c r="I299" i="2"/>
  <c r="H299" i="2"/>
  <c r="I278" i="2"/>
  <c r="H278" i="2"/>
  <c r="I235" i="2"/>
  <c r="H235" i="2"/>
  <c r="I214" i="2"/>
  <c r="H214" i="2"/>
  <c r="I171" i="2"/>
  <c r="H171" i="2"/>
  <c r="I150" i="2"/>
  <c r="H150" i="2"/>
  <c r="I107" i="2"/>
  <c r="H107" i="2"/>
  <c r="I86" i="2"/>
  <c r="H86" i="2"/>
  <c r="I54" i="2"/>
  <c r="H54" i="2"/>
  <c r="I11" i="2"/>
  <c r="H11" i="2"/>
  <c r="H477" i="2"/>
  <c r="H429" i="2"/>
  <c r="H372" i="2"/>
  <c r="I341" i="2"/>
  <c r="G2" i="2"/>
  <c r="G3" i="2"/>
  <c r="I494" i="2"/>
  <c r="H494" i="2"/>
  <c r="I474" i="2"/>
  <c r="H474" i="2"/>
  <c r="H462" i="2"/>
  <c r="I462" i="2"/>
  <c r="I458" i="2"/>
  <c r="H458" i="2"/>
  <c r="H446" i="2"/>
  <c r="I446" i="2"/>
  <c r="I442" i="2"/>
  <c r="H442" i="2"/>
  <c r="I430" i="2"/>
  <c r="H430" i="2"/>
  <c r="I426" i="2"/>
  <c r="H426" i="2"/>
  <c r="H414" i="2"/>
  <c r="I414" i="2"/>
  <c r="I410" i="2"/>
  <c r="H410" i="2"/>
  <c r="H398" i="2"/>
  <c r="I398" i="2"/>
  <c r="I394" i="2"/>
  <c r="H394" i="2"/>
  <c r="H382" i="2"/>
  <c r="I382" i="2"/>
  <c r="I378" i="2"/>
  <c r="H378" i="2"/>
  <c r="I366" i="2"/>
  <c r="H366" i="2"/>
  <c r="I362" i="2"/>
  <c r="H362" i="2"/>
  <c r="H350" i="2"/>
  <c r="I350" i="2"/>
  <c r="I346" i="2"/>
  <c r="H346" i="2"/>
  <c r="H334" i="2"/>
  <c r="I334" i="2"/>
  <c r="H330" i="2"/>
  <c r="I330" i="2"/>
  <c r="I318" i="2"/>
  <c r="H318" i="2"/>
  <c r="H314" i="2"/>
  <c r="I314" i="2"/>
  <c r="H302" i="2"/>
  <c r="I302" i="2"/>
  <c r="I298" i="2"/>
  <c r="H298" i="2"/>
  <c r="H286" i="2"/>
  <c r="I286" i="2"/>
  <c r="I282" i="2"/>
  <c r="H282" i="2"/>
  <c r="I270" i="2"/>
  <c r="H270" i="2"/>
  <c r="H266" i="2"/>
  <c r="I266" i="2"/>
  <c r="I254" i="2"/>
  <c r="H254" i="2"/>
  <c r="I250" i="2"/>
  <c r="H250" i="2"/>
  <c r="H234" i="2"/>
  <c r="I234" i="2"/>
  <c r="I222" i="2"/>
  <c r="H222" i="2"/>
  <c r="I218" i="2"/>
  <c r="H218" i="2"/>
  <c r="H206" i="2"/>
  <c r="I206" i="2"/>
  <c r="I202" i="2"/>
  <c r="H202" i="2"/>
  <c r="I190" i="2"/>
  <c r="H190" i="2"/>
  <c r="H186" i="2"/>
  <c r="I186" i="2"/>
  <c r="I174" i="2"/>
  <c r="H174" i="2"/>
  <c r="H170" i="2"/>
  <c r="I170" i="2"/>
  <c r="H158" i="2"/>
  <c r="I158" i="2"/>
  <c r="I154" i="2"/>
  <c r="H154" i="2"/>
  <c r="H142" i="2"/>
  <c r="I142" i="2"/>
  <c r="I126" i="2"/>
  <c r="H126" i="2"/>
  <c r="H122" i="2"/>
  <c r="I122" i="2"/>
  <c r="H110" i="2"/>
  <c r="I110" i="2"/>
  <c r="H106" i="2"/>
  <c r="I106" i="2"/>
  <c r="H94" i="2"/>
  <c r="I94" i="2"/>
  <c r="I90" i="2"/>
  <c r="H90" i="2"/>
  <c r="H78" i="2"/>
  <c r="I78" i="2"/>
  <c r="H74" i="2"/>
  <c r="I74" i="2"/>
  <c r="I62" i="2"/>
  <c r="H62" i="2"/>
  <c r="H58" i="2"/>
  <c r="I58" i="2"/>
  <c r="H46" i="2"/>
  <c r="I46" i="2"/>
  <c r="I42" i="2"/>
  <c r="H42" i="2"/>
  <c r="H30" i="2"/>
  <c r="I30" i="2"/>
  <c r="I26" i="2"/>
  <c r="H26" i="2"/>
  <c r="I14" i="2"/>
  <c r="H14" i="2"/>
  <c r="H10" i="2"/>
  <c r="I10" i="2"/>
  <c r="I471" i="2"/>
  <c r="H471" i="2"/>
  <c r="I439" i="2"/>
  <c r="H439" i="2"/>
  <c r="I375" i="2"/>
  <c r="H375" i="2"/>
  <c r="I343" i="2"/>
  <c r="H343" i="2"/>
  <c r="I311" i="2"/>
  <c r="H311" i="2"/>
  <c r="I247" i="2"/>
  <c r="H247" i="2"/>
  <c r="I215" i="2"/>
  <c r="H215" i="2"/>
  <c r="I183" i="2"/>
  <c r="H183" i="2"/>
  <c r="I151" i="2"/>
  <c r="H151" i="2"/>
  <c r="I119" i="2"/>
  <c r="H119" i="2"/>
  <c r="I87" i="2"/>
  <c r="H87" i="2"/>
  <c r="I55" i="2"/>
  <c r="H55" i="2"/>
  <c r="I23" i="2"/>
  <c r="H23" i="2"/>
  <c r="H497" i="2"/>
  <c r="H481" i="2"/>
  <c r="H459" i="2"/>
  <c r="H435" i="2"/>
  <c r="H407" i="2"/>
  <c r="H377" i="2"/>
  <c r="H349" i="2"/>
  <c r="H179" i="2"/>
  <c r="H100" i="2"/>
  <c r="I189" i="2"/>
  <c r="G5" i="2"/>
  <c r="H5" i="2" s="1"/>
  <c r="I2" i="2"/>
  <c r="H2" i="2"/>
  <c r="I3" i="2"/>
  <c r="H3" i="2"/>
  <c r="H6" i="2"/>
  <c r="I6" i="2"/>
  <c r="I5" i="2"/>
  <c r="H4" i="2"/>
</calcChain>
</file>

<file path=xl/sharedStrings.xml><?xml version="1.0" encoding="utf-8"?>
<sst xmlns="http://schemas.openxmlformats.org/spreadsheetml/2006/main" count="2952" uniqueCount="831">
  <si>
    <t>Product ID</t>
  </si>
  <si>
    <t>Product Name</t>
  </si>
  <si>
    <t>Category</t>
  </si>
  <si>
    <t>Supplier</t>
  </si>
  <si>
    <t>Stock In</t>
  </si>
  <si>
    <t>Stock Out</t>
  </si>
  <si>
    <t>Unit Price</t>
  </si>
  <si>
    <t>Date</t>
  </si>
  <si>
    <t>Laptop</t>
  </si>
  <si>
    <t>Electronics</t>
  </si>
  <si>
    <t>Dell</t>
  </si>
  <si>
    <t>Mouse</t>
  </si>
  <si>
    <t>Logitech</t>
  </si>
  <si>
    <t>Keyboard</t>
  </si>
  <si>
    <t>HP</t>
  </si>
  <si>
    <t>Monitor</t>
  </si>
  <si>
    <t>Samsung</t>
  </si>
  <si>
    <t>Printer</t>
  </si>
  <si>
    <t>Canon</t>
  </si>
  <si>
    <t>Current Stock</t>
  </si>
  <si>
    <t>Stock Value</t>
  </si>
  <si>
    <t>Stock Status</t>
  </si>
  <si>
    <t>P1001</t>
  </si>
  <si>
    <t>05-06-2024</t>
  </si>
  <si>
    <t>P1002</t>
  </si>
  <si>
    <t>Webcam</t>
  </si>
  <si>
    <t>TP-Link</t>
  </si>
  <si>
    <t>10-08-2024</t>
  </si>
  <si>
    <t>P1003</t>
  </si>
  <si>
    <t>31-03-2024</t>
  </si>
  <si>
    <t>P1004</t>
  </si>
  <si>
    <t>Acer</t>
  </si>
  <si>
    <t>01-07-2024</t>
  </si>
  <si>
    <t>P1005</t>
  </si>
  <si>
    <t>Lenovo</t>
  </si>
  <si>
    <t>01-08-2024</t>
  </si>
  <si>
    <t>P1006</t>
  </si>
  <si>
    <t>02-06-2024</t>
  </si>
  <si>
    <t>P1007</t>
  </si>
  <si>
    <t>Router</t>
  </si>
  <si>
    <t>27-10-2024</t>
  </si>
  <si>
    <t>P1008</t>
  </si>
  <si>
    <t>09-10-2024</t>
  </si>
  <si>
    <t>P1009</t>
  </si>
  <si>
    <t>23-02-2024</t>
  </si>
  <si>
    <t>P1010</t>
  </si>
  <si>
    <t>Seagate</t>
  </si>
  <si>
    <t>19-09-2024</t>
  </si>
  <si>
    <t>P1011</t>
  </si>
  <si>
    <t>Tablet</t>
  </si>
  <si>
    <t>16-02-2024</t>
  </si>
  <si>
    <t>P1012</t>
  </si>
  <si>
    <t>Headphones</t>
  </si>
  <si>
    <t>16-01-2024</t>
  </si>
  <si>
    <t>P1013</t>
  </si>
  <si>
    <t>07-07-2024</t>
  </si>
  <si>
    <t>P1014</t>
  </si>
  <si>
    <t>08-10-2024</t>
  </si>
  <si>
    <t>P1015</t>
  </si>
  <si>
    <t>02-12-2024</t>
  </si>
  <si>
    <t>P1016</t>
  </si>
  <si>
    <t>06-10-2024</t>
  </si>
  <si>
    <t>P1017</t>
  </si>
  <si>
    <t>24-05-2024</t>
  </si>
  <si>
    <t>P1018</t>
  </si>
  <si>
    <t>27-03-2024</t>
  </si>
  <si>
    <t>P1019</t>
  </si>
  <si>
    <t>11-06-2024</t>
  </si>
  <si>
    <t>P1020</t>
  </si>
  <si>
    <t>04-12-2024</t>
  </si>
  <si>
    <t>P1021</t>
  </si>
  <si>
    <t>P1022</t>
  </si>
  <si>
    <t>02-11-2024</t>
  </si>
  <si>
    <t>P1023</t>
  </si>
  <si>
    <t>Asus</t>
  </si>
  <si>
    <t>13-05-2024</t>
  </si>
  <si>
    <t>P1024</t>
  </si>
  <si>
    <t>24-08-2024</t>
  </si>
  <si>
    <t>P1025</t>
  </si>
  <si>
    <t>20-11-2024</t>
  </si>
  <si>
    <t>P1026</t>
  </si>
  <si>
    <t>29-10-2024</t>
  </si>
  <si>
    <t>P1027</t>
  </si>
  <si>
    <t>P1028</t>
  </si>
  <si>
    <t>15-04-2024</t>
  </si>
  <si>
    <t>P1029</t>
  </si>
  <si>
    <t>19-04-2024</t>
  </si>
  <si>
    <t>P1030</t>
  </si>
  <si>
    <t>18-10-2024</t>
  </si>
  <si>
    <t>P1031</t>
  </si>
  <si>
    <t>08-11-2024</t>
  </si>
  <si>
    <t>P1032</t>
  </si>
  <si>
    <t>07-03-2024</t>
  </si>
  <si>
    <t>P1033</t>
  </si>
  <si>
    <t>01-11-2024</t>
  </si>
  <si>
    <t>P1034</t>
  </si>
  <si>
    <t>SSD</t>
  </si>
  <si>
    <t>03-03-2024</t>
  </si>
  <si>
    <t>P1035</t>
  </si>
  <si>
    <t>P1036</t>
  </si>
  <si>
    <t>17-04-2024</t>
  </si>
  <si>
    <t>P1037</t>
  </si>
  <si>
    <t>08-02-2024</t>
  </si>
  <si>
    <t>P1038</t>
  </si>
  <si>
    <t>18-11-2024</t>
  </si>
  <si>
    <t>P1039</t>
  </si>
  <si>
    <t>22-01-2024</t>
  </si>
  <si>
    <t>P1040</t>
  </si>
  <si>
    <t>24-07-2024</t>
  </si>
  <si>
    <t>P1041</t>
  </si>
  <si>
    <t>14-02-2024</t>
  </si>
  <si>
    <t>P1042</t>
  </si>
  <si>
    <t>07-12-2024</t>
  </si>
  <si>
    <t>P1043</t>
  </si>
  <si>
    <t>04-01-2024</t>
  </si>
  <si>
    <t>P1044</t>
  </si>
  <si>
    <t>30-12-2024</t>
  </si>
  <si>
    <t>P1045</t>
  </si>
  <si>
    <t>26-08-2024</t>
  </si>
  <si>
    <t>P1046</t>
  </si>
  <si>
    <t>17-09-2024</t>
  </si>
  <si>
    <t>P1047</t>
  </si>
  <si>
    <t>30-08-2024</t>
  </si>
  <si>
    <t>P1048</t>
  </si>
  <si>
    <t>29-03-2024</t>
  </si>
  <si>
    <t>P1049</t>
  </si>
  <si>
    <t>04-10-2024</t>
  </si>
  <si>
    <t>P1050</t>
  </si>
  <si>
    <t>01-02-2024</t>
  </si>
  <si>
    <t>P1051</t>
  </si>
  <si>
    <t>02-04-2024</t>
  </si>
  <si>
    <t>P1052</t>
  </si>
  <si>
    <t>P1053</t>
  </si>
  <si>
    <t>26-09-2024</t>
  </si>
  <si>
    <t>P1054</t>
  </si>
  <si>
    <t>29-09-2024</t>
  </si>
  <si>
    <t>P1055</t>
  </si>
  <si>
    <t>17-08-2024</t>
  </si>
  <si>
    <t>P1056</t>
  </si>
  <si>
    <t>04-11-2024</t>
  </si>
  <si>
    <t>P1057</t>
  </si>
  <si>
    <t>P1058</t>
  </si>
  <si>
    <t>P1059</t>
  </si>
  <si>
    <t>09-09-2024</t>
  </si>
  <si>
    <t>P1060</t>
  </si>
  <si>
    <t>09-03-2024</t>
  </si>
  <si>
    <t>P1061</t>
  </si>
  <si>
    <t>16-05-2024</t>
  </si>
  <si>
    <t>P1062</t>
  </si>
  <si>
    <t>14-07-2024</t>
  </si>
  <si>
    <t>P1063</t>
  </si>
  <si>
    <t>21-09-2024</t>
  </si>
  <si>
    <t>P1064</t>
  </si>
  <si>
    <t>10-09-2024</t>
  </si>
  <si>
    <t>P1065</t>
  </si>
  <si>
    <t>24-04-2024</t>
  </si>
  <si>
    <t>P1066</t>
  </si>
  <si>
    <t>13-11-2024</t>
  </si>
  <si>
    <t>P1067</t>
  </si>
  <si>
    <t>04-08-2024</t>
  </si>
  <si>
    <t>P1068</t>
  </si>
  <si>
    <t>02-01-2024</t>
  </si>
  <si>
    <t>P1069</t>
  </si>
  <si>
    <t>31-05-2024</t>
  </si>
  <si>
    <t>P1070</t>
  </si>
  <si>
    <t>21-04-2024</t>
  </si>
  <si>
    <t>P1071</t>
  </si>
  <si>
    <t>03-07-2024</t>
  </si>
  <si>
    <t>P1072</t>
  </si>
  <si>
    <t>08-06-2024</t>
  </si>
  <si>
    <t>P1073</t>
  </si>
  <si>
    <t>24-02-2024</t>
  </si>
  <si>
    <t>P1074</t>
  </si>
  <si>
    <t>P1075</t>
  </si>
  <si>
    <t>06-02-2024</t>
  </si>
  <si>
    <t>P1076</t>
  </si>
  <si>
    <t>26-02-2024</t>
  </si>
  <si>
    <t>P1077</t>
  </si>
  <si>
    <t>02-02-2024</t>
  </si>
  <si>
    <t>P1078</t>
  </si>
  <si>
    <t>P1079</t>
  </si>
  <si>
    <t>29-05-2024</t>
  </si>
  <si>
    <t>P1080</t>
  </si>
  <si>
    <t>12-07-2024</t>
  </si>
  <si>
    <t>P1081</t>
  </si>
  <si>
    <t>31-10-2024</t>
  </si>
  <si>
    <t>P1082</t>
  </si>
  <si>
    <t>P1083</t>
  </si>
  <si>
    <t>22-10-2024</t>
  </si>
  <si>
    <t>P1084</t>
  </si>
  <si>
    <t>15-09-2024</t>
  </si>
  <si>
    <t>P1085</t>
  </si>
  <si>
    <t>12-10-2024</t>
  </si>
  <si>
    <t>P1086</t>
  </si>
  <si>
    <t>20-08-2024</t>
  </si>
  <si>
    <t>P1087</t>
  </si>
  <si>
    <t>27-02-2024</t>
  </si>
  <si>
    <t>P1088</t>
  </si>
  <si>
    <t>27-04-2024</t>
  </si>
  <si>
    <t>P1089</t>
  </si>
  <si>
    <t>09-08-2024</t>
  </si>
  <si>
    <t>P1090</t>
  </si>
  <si>
    <t>P1091</t>
  </si>
  <si>
    <t>P1092</t>
  </si>
  <si>
    <t>P1093</t>
  </si>
  <si>
    <t>P1094</t>
  </si>
  <si>
    <t>P1095</t>
  </si>
  <si>
    <t>P1096</t>
  </si>
  <si>
    <t>23-06-2024</t>
  </si>
  <si>
    <t>P1097</t>
  </si>
  <si>
    <t>P1098</t>
  </si>
  <si>
    <t>06-12-2024</t>
  </si>
  <si>
    <t>P1099</t>
  </si>
  <si>
    <t>P1100</t>
  </si>
  <si>
    <t>P1101</t>
  </si>
  <si>
    <t>P1102</t>
  </si>
  <si>
    <t>15-11-2024</t>
  </si>
  <si>
    <t>P1103</t>
  </si>
  <si>
    <t>19-01-2024</t>
  </si>
  <si>
    <t>P1104</t>
  </si>
  <si>
    <t>P1105</t>
  </si>
  <si>
    <t>30-03-2024</t>
  </si>
  <si>
    <t>P1106</t>
  </si>
  <si>
    <t>P1107</t>
  </si>
  <si>
    <t>P1108</t>
  </si>
  <si>
    <t>30-01-2024</t>
  </si>
  <si>
    <t>P1109</t>
  </si>
  <si>
    <t>01-06-2024</t>
  </si>
  <si>
    <t>P1110</t>
  </si>
  <si>
    <t>P1111</t>
  </si>
  <si>
    <t>11-10-2024</t>
  </si>
  <si>
    <t>P1112</t>
  </si>
  <si>
    <t>P1113</t>
  </si>
  <si>
    <t>26-01-2024</t>
  </si>
  <si>
    <t>P1114</t>
  </si>
  <si>
    <t>11-11-2024</t>
  </si>
  <si>
    <t>P1115</t>
  </si>
  <si>
    <t>P1116</t>
  </si>
  <si>
    <t>20-10-2024</t>
  </si>
  <si>
    <t>P1117</t>
  </si>
  <si>
    <t>04-07-2024</t>
  </si>
  <si>
    <t>P1118</t>
  </si>
  <si>
    <t>P1119</t>
  </si>
  <si>
    <t>09-05-2024</t>
  </si>
  <si>
    <t>P1120</t>
  </si>
  <si>
    <t>P1121</t>
  </si>
  <si>
    <t>21-03-2024</t>
  </si>
  <si>
    <t>P1122</t>
  </si>
  <si>
    <t>31-08-2024</t>
  </si>
  <si>
    <t>P1123</t>
  </si>
  <si>
    <t>22-04-2024</t>
  </si>
  <si>
    <t>P1124</t>
  </si>
  <si>
    <t>19-06-2024</t>
  </si>
  <si>
    <t>P1125</t>
  </si>
  <si>
    <t>29-06-2024</t>
  </si>
  <si>
    <t>P1126</t>
  </si>
  <si>
    <t>P1127</t>
  </si>
  <si>
    <t>25-02-2024</t>
  </si>
  <si>
    <t>P1128</t>
  </si>
  <si>
    <t>17-07-2024</t>
  </si>
  <si>
    <t>P1129</t>
  </si>
  <si>
    <t>26-04-2024</t>
  </si>
  <si>
    <t>P1130</t>
  </si>
  <si>
    <t>30-09-2024</t>
  </si>
  <si>
    <t>P1131</t>
  </si>
  <si>
    <t>P1132</t>
  </si>
  <si>
    <t>15-06-2024</t>
  </si>
  <si>
    <t>P1133</t>
  </si>
  <si>
    <t>02-07-2024</t>
  </si>
  <si>
    <t>P1134</t>
  </si>
  <si>
    <t>05-11-2024</t>
  </si>
  <si>
    <t>P1135</t>
  </si>
  <si>
    <t>02-08-2024</t>
  </si>
  <si>
    <t>P1136</t>
  </si>
  <si>
    <t>21-12-2024</t>
  </si>
  <si>
    <t>P1137</t>
  </si>
  <si>
    <t>14-05-2024</t>
  </si>
  <si>
    <t>P1138</t>
  </si>
  <si>
    <t>17-02-2024</t>
  </si>
  <si>
    <t>P1139</t>
  </si>
  <si>
    <t>P1140</t>
  </si>
  <si>
    <t>14-09-2024</t>
  </si>
  <si>
    <t>P1141</t>
  </si>
  <si>
    <t>02-03-2024</t>
  </si>
  <si>
    <t>P1142</t>
  </si>
  <si>
    <t>P1143</t>
  </si>
  <si>
    <t>P1144</t>
  </si>
  <si>
    <t>17-11-2024</t>
  </si>
  <si>
    <t>P1145</t>
  </si>
  <si>
    <t>18-09-2024</t>
  </si>
  <si>
    <t>P1146</t>
  </si>
  <si>
    <t>28-05-2024</t>
  </si>
  <si>
    <t>P1147</t>
  </si>
  <si>
    <t>15-03-2024</t>
  </si>
  <si>
    <t>P1148</t>
  </si>
  <si>
    <t>P1149</t>
  </si>
  <si>
    <t>P1150</t>
  </si>
  <si>
    <t>27-12-2024</t>
  </si>
  <si>
    <t>P1151</t>
  </si>
  <si>
    <t>19-02-2024</t>
  </si>
  <si>
    <t>P1152</t>
  </si>
  <si>
    <t>19-07-2024</t>
  </si>
  <si>
    <t>P1153</t>
  </si>
  <si>
    <t>15-05-2024</t>
  </si>
  <si>
    <t>P1154</t>
  </si>
  <si>
    <t>27-07-2024</t>
  </si>
  <si>
    <t>P1155</t>
  </si>
  <si>
    <t>P1156</t>
  </si>
  <si>
    <t>30-04-2024</t>
  </si>
  <si>
    <t>P1157</t>
  </si>
  <si>
    <t>P1158</t>
  </si>
  <si>
    <t>12-01-2024</t>
  </si>
  <si>
    <t>P1159</t>
  </si>
  <si>
    <t>10-04-2024</t>
  </si>
  <si>
    <t>P1160</t>
  </si>
  <si>
    <t>P1161</t>
  </si>
  <si>
    <t>P1162</t>
  </si>
  <si>
    <t>30-10-2024</t>
  </si>
  <si>
    <t>P1163</t>
  </si>
  <si>
    <t>P1164</t>
  </si>
  <si>
    <t>12-12-2024</t>
  </si>
  <si>
    <t>P1165</t>
  </si>
  <si>
    <t>P1166</t>
  </si>
  <si>
    <t>08-01-2024</t>
  </si>
  <si>
    <t>P1167</t>
  </si>
  <si>
    <t>P1168</t>
  </si>
  <si>
    <t>P1169</t>
  </si>
  <si>
    <t>P1170</t>
  </si>
  <si>
    <t>25-05-2024</t>
  </si>
  <si>
    <t>P1171</t>
  </si>
  <si>
    <t>03-06-2024</t>
  </si>
  <si>
    <t>P1172</t>
  </si>
  <si>
    <t>10-05-2024</t>
  </si>
  <si>
    <t>P1173</t>
  </si>
  <si>
    <t>P1174</t>
  </si>
  <si>
    <t>18-12-2024</t>
  </si>
  <si>
    <t>P1175</t>
  </si>
  <si>
    <t>22-09-2024</t>
  </si>
  <si>
    <t>P1176</t>
  </si>
  <si>
    <t>P1177</t>
  </si>
  <si>
    <t>06-03-2024</t>
  </si>
  <si>
    <t>P1178</t>
  </si>
  <si>
    <t>17-05-2024</t>
  </si>
  <si>
    <t>P1179</t>
  </si>
  <si>
    <t>P1180</t>
  </si>
  <si>
    <t>23-04-2024</t>
  </si>
  <si>
    <t>P1181</t>
  </si>
  <si>
    <t>12-06-2024</t>
  </si>
  <si>
    <t>P1182</t>
  </si>
  <si>
    <t>30-07-2024</t>
  </si>
  <si>
    <t>P1183</t>
  </si>
  <si>
    <t>P1184</t>
  </si>
  <si>
    <t>27-11-2024</t>
  </si>
  <si>
    <t>P1185</t>
  </si>
  <si>
    <t>P1186</t>
  </si>
  <si>
    <t>20-05-2024</t>
  </si>
  <si>
    <t>P1187</t>
  </si>
  <si>
    <t>15-07-2024</t>
  </si>
  <si>
    <t>P1188</t>
  </si>
  <si>
    <t>P1189</t>
  </si>
  <si>
    <t>03-01-2024</t>
  </si>
  <si>
    <t>P1190</t>
  </si>
  <si>
    <t>P1191</t>
  </si>
  <si>
    <t>26-05-2024</t>
  </si>
  <si>
    <t>P1192</t>
  </si>
  <si>
    <t>28-06-2024</t>
  </si>
  <si>
    <t>P1193</t>
  </si>
  <si>
    <t>11-02-2024</t>
  </si>
  <si>
    <t>P1194</t>
  </si>
  <si>
    <t>14-06-2024</t>
  </si>
  <si>
    <t>P1195</t>
  </si>
  <si>
    <t>P1196</t>
  </si>
  <si>
    <t>P1197</t>
  </si>
  <si>
    <t>P1198</t>
  </si>
  <si>
    <t>17-06-2024</t>
  </si>
  <si>
    <t>P1199</t>
  </si>
  <si>
    <t>P1200</t>
  </si>
  <si>
    <t>14-01-2024</t>
  </si>
  <si>
    <t>P1201</t>
  </si>
  <si>
    <t>P1202</t>
  </si>
  <si>
    <t>29-12-2024</t>
  </si>
  <si>
    <t>P1203</t>
  </si>
  <si>
    <t>16-11-2024</t>
  </si>
  <si>
    <t>P1204</t>
  </si>
  <si>
    <t>22-07-2024</t>
  </si>
  <si>
    <t>P1205</t>
  </si>
  <si>
    <t>P1206</t>
  </si>
  <si>
    <t>03-02-2024</t>
  </si>
  <si>
    <t>P1207</t>
  </si>
  <si>
    <t>P1208</t>
  </si>
  <si>
    <t>P1209</t>
  </si>
  <si>
    <t>13-03-2024</t>
  </si>
  <si>
    <t>P1210</t>
  </si>
  <si>
    <t>P1211</t>
  </si>
  <si>
    <t>28-09-2024</t>
  </si>
  <si>
    <t>P1212</t>
  </si>
  <si>
    <t>05-07-2024</t>
  </si>
  <si>
    <t>P1213</t>
  </si>
  <si>
    <t>01-03-2024</t>
  </si>
  <si>
    <t>P1214</t>
  </si>
  <si>
    <t>P1215</t>
  </si>
  <si>
    <t>20-03-2024</t>
  </si>
  <si>
    <t>P1216</t>
  </si>
  <si>
    <t>09-02-2024</t>
  </si>
  <si>
    <t>P1217</t>
  </si>
  <si>
    <t>13-09-2024</t>
  </si>
  <si>
    <t>P1218</t>
  </si>
  <si>
    <t>17-01-2024</t>
  </si>
  <si>
    <t>P1219</t>
  </si>
  <si>
    <t>16-06-2024</t>
  </si>
  <si>
    <t>P1220</t>
  </si>
  <si>
    <t>15-02-2024</t>
  </si>
  <si>
    <t>P1221</t>
  </si>
  <si>
    <t>18-05-2024</t>
  </si>
  <si>
    <t>P1222</t>
  </si>
  <si>
    <t>P1223</t>
  </si>
  <si>
    <t>P1224</t>
  </si>
  <si>
    <t>13-12-2024</t>
  </si>
  <si>
    <t>P1225</t>
  </si>
  <si>
    <t>P1226</t>
  </si>
  <si>
    <t>25-04-2024</t>
  </si>
  <si>
    <t>P1227</t>
  </si>
  <si>
    <t>P1228</t>
  </si>
  <si>
    <t>P1229</t>
  </si>
  <si>
    <t>P1230</t>
  </si>
  <si>
    <t>04-04-2024</t>
  </si>
  <si>
    <t>P1231</t>
  </si>
  <si>
    <t>19-12-2024</t>
  </si>
  <si>
    <t>P1232</t>
  </si>
  <si>
    <t>P1233</t>
  </si>
  <si>
    <t>P1234</t>
  </si>
  <si>
    <t>08-05-2024</t>
  </si>
  <si>
    <t>P1235</t>
  </si>
  <si>
    <t>30-05-2024</t>
  </si>
  <si>
    <t>P1236</t>
  </si>
  <si>
    <t>P1237</t>
  </si>
  <si>
    <t>23-11-2024</t>
  </si>
  <si>
    <t>P1238</t>
  </si>
  <si>
    <t>05-01-2024</t>
  </si>
  <si>
    <t>P1239</t>
  </si>
  <si>
    <t>20-02-2024</t>
  </si>
  <si>
    <t>P1240</t>
  </si>
  <si>
    <t>P1241</t>
  </si>
  <si>
    <t>P1242</t>
  </si>
  <si>
    <t>P1243</t>
  </si>
  <si>
    <t>18-01-2024</t>
  </si>
  <si>
    <t>P1244</t>
  </si>
  <si>
    <t>P1245</t>
  </si>
  <si>
    <t>P1246</t>
  </si>
  <si>
    <t>29-01-2024</t>
  </si>
  <si>
    <t>P1247</t>
  </si>
  <si>
    <t>09-12-2024</t>
  </si>
  <si>
    <t>P1248</t>
  </si>
  <si>
    <t>P1249</t>
  </si>
  <si>
    <t>P1250</t>
  </si>
  <si>
    <t>18-03-2024</t>
  </si>
  <si>
    <t>P1251</t>
  </si>
  <si>
    <t>P1252</t>
  </si>
  <si>
    <t>P1253</t>
  </si>
  <si>
    <t>02-10-2024</t>
  </si>
  <si>
    <t>P1254</t>
  </si>
  <si>
    <t>25-11-2024</t>
  </si>
  <si>
    <t>P1255</t>
  </si>
  <si>
    <t>20-07-2024</t>
  </si>
  <si>
    <t>P1256</t>
  </si>
  <si>
    <t>P1257</t>
  </si>
  <si>
    <t>10-01-2024</t>
  </si>
  <si>
    <t>P1258</t>
  </si>
  <si>
    <t>P1259</t>
  </si>
  <si>
    <t>12-04-2024</t>
  </si>
  <si>
    <t>P1260</t>
  </si>
  <si>
    <t>12-02-2024</t>
  </si>
  <si>
    <t>P1261</t>
  </si>
  <si>
    <t>16-07-2024</t>
  </si>
  <si>
    <t>P1262</t>
  </si>
  <si>
    <t>27-08-2024</t>
  </si>
  <si>
    <t>P1263</t>
  </si>
  <si>
    <t>P1264</t>
  </si>
  <si>
    <t>P1265</t>
  </si>
  <si>
    <t>03-11-2024</t>
  </si>
  <si>
    <t>P1266</t>
  </si>
  <si>
    <t>P1267</t>
  </si>
  <si>
    <t>21-07-2024</t>
  </si>
  <si>
    <t>P1268</t>
  </si>
  <si>
    <t>21-02-2024</t>
  </si>
  <si>
    <t>P1269</t>
  </si>
  <si>
    <t>P1270</t>
  </si>
  <si>
    <t>P1271</t>
  </si>
  <si>
    <t>P1272</t>
  </si>
  <si>
    <t>05-02-2024</t>
  </si>
  <si>
    <t>P1273</t>
  </si>
  <si>
    <t>P1274</t>
  </si>
  <si>
    <t>25-06-2024</t>
  </si>
  <si>
    <t>P1275</t>
  </si>
  <si>
    <t>16-04-2024</t>
  </si>
  <si>
    <t>P1276</t>
  </si>
  <si>
    <t>P1277</t>
  </si>
  <si>
    <t>01-12-2024</t>
  </si>
  <si>
    <t>P1278</t>
  </si>
  <si>
    <t>21-01-2024</t>
  </si>
  <si>
    <t>P1279</t>
  </si>
  <si>
    <t>P1280</t>
  </si>
  <si>
    <t>P1281</t>
  </si>
  <si>
    <t>P1282</t>
  </si>
  <si>
    <t>03-12-2024</t>
  </si>
  <si>
    <t>P1283</t>
  </si>
  <si>
    <t>P1284</t>
  </si>
  <si>
    <t>16-08-2024</t>
  </si>
  <si>
    <t>P1285</t>
  </si>
  <si>
    <t>P1286</t>
  </si>
  <si>
    <t>25-10-2024</t>
  </si>
  <si>
    <t>P1287</t>
  </si>
  <si>
    <t>P1288</t>
  </si>
  <si>
    <t>P1289</t>
  </si>
  <si>
    <t>29-07-2024</t>
  </si>
  <si>
    <t>P1290</t>
  </si>
  <si>
    <t>22-08-2024</t>
  </si>
  <si>
    <t>P1291</t>
  </si>
  <si>
    <t>02-09-2024</t>
  </si>
  <si>
    <t>P1292</t>
  </si>
  <si>
    <t>P1293</t>
  </si>
  <si>
    <t>26-03-2024</t>
  </si>
  <si>
    <t>P1294</t>
  </si>
  <si>
    <t>14-10-2024</t>
  </si>
  <si>
    <t>P1295</t>
  </si>
  <si>
    <t>25-08-2024</t>
  </si>
  <si>
    <t>P1296</t>
  </si>
  <si>
    <t>P1297</t>
  </si>
  <si>
    <t>P1298</t>
  </si>
  <si>
    <t>12-05-2024</t>
  </si>
  <si>
    <t>P1299</t>
  </si>
  <si>
    <t>P1300</t>
  </si>
  <si>
    <t>P1301</t>
  </si>
  <si>
    <t>28-12-2024</t>
  </si>
  <si>
    <t>P1302</t>
  </si>
  <si>
    <t>P1303</t>
  </si>
  <si>
    <t>P1304</t>
  </si>
  <si>
    <t>16-09-2024</t>
  </si>
  <si>
    <t>P1305</t>
  </si>
  <si>
    <t>07-05-2024</t>
  </si>
  <si>
    <t>P1306</t>
  </si>
  <si>
    <t>10-12-2024</t>
  </si>
  <si>
    <t>P1307</t>
  </si>
  <si>
    <t>29-04-2024</t>
  </si>
  <si>
    <t>P1308</t>
  </si>
  <si>
    <t>P1309</t>
  </si>
  <si>
    <t>20-09-2024</t>
  </si>
  <si>
    <t>P1310</t>
  </si>
  <si>
    <t>P1311</t>
  </si>
  <si>
    <t>P1312</t>
  </si>
  <si>
    <t>24-11-2024</t>
  </si>
  <si>
    <t>P1313</t>
  </si>
  <si>
    <t>05-05-2024</t>
  </si>
  <si>
    <t>P1314</t>
  </si>
  <si>
    <t>06-01-2024</t>
  </si>
  <si>
    <t>P1315</t>
  </si>
  <si>
    <t>11-05-2024</t>
  </si>
  <si>
    <t>P1316</t>
  </si>
  <si>
    <t>29-08-2024</t>
  </si>
  <si>
    <t>P1317</t>
  </si>
  <si>
    <t>13-01-2024</t>
  </si>
  <si>
    <t>P1318</t>
  </si>
  <si>
    <t>P1319</t>
  </si>
  <si>
    <t>P1320</t>
  </si>
  <si>
    <t>22-05-2024</t>
  </si>
  <si>
    <t>P1321</t>
  </si>
  <si>
    <t>20-01-2024</t>
  </si>
  <si>
    <t>P1322</t>
  </si>
  <si>
    <t>P1323</t>
  </si>
  <si>
    <t>24-06-2024</t>
  </si>
  <si>
    <t>P1324</t>
  </si>
  <si>
    <t>P1325</t>
  </si>
  <si>
    <t>P1326</t>
  </si>
  <si>
    <t>P1327</t>
  </si>
  <si>
    <t>07-09-2024</t>
  </si>
  <si>
    <t>P1328</t>
  </si>
  <si>
    <t>P1329</t>
  </si>
  <si>
    <t>07-11-2024</t>
  </si>
  <si>
    <t>P1330</t>
  </si>
  <si>
    <t>P1331</t>
  </si>
  <si>
    <t>23-01-2024</t>
  </si>
  <si>
    <t>P1332</t>
  </si>
  <si>
    <t>P1333</t>
  </si>
  <si>
    <t>26-06-2024</t>
  </si>
  <si>
    <t>P1334</t>
  </si>
  <si>
    <t>30-06-2024</t>
  </si>
  <si>
    <t>P1335</t>
  </si>
  <si>
    <t>10-07-2024</t>
  </si>
  <si>
    <t>P1336</t>
  </si>
  <si>
    <t>P1337</t>
  </si>
  <si>
    <t>P1338</t>
  </si>
  <si>
    <t>P1339</t>
  </si>
  <si>
    <t>P1340</t>
  </si>
  <si>
    <t>P1341</t>
  </si>
  <si>
    <t>P1342</t>
  </si>
  <si>
    <t>P1343</t>
  </si>
  <si>
    <t>P1344</t>
  </si>
  <si>
    <t>21-10-2024</t>
  </si>
  <si>
    <t>P1345</t>
  </si>
  <si>
    <t>08-03-2024</t>
  </si>
  <si>
    <t>P1346</t>
  </si>
  <si>
    <t>P1347</t>
  </si>
  <si>
    <t>P1348</t>
  </si>
  <si>
    <t>P1349</t>
  </si>
  <si>
    <t>27-09-2024</t>
  </si>
  <si>
    <t>P1350</t>
  </si>
  <si>
    <t>P1351</t>
  </si>
  <si>
    <t>P1352</t>
  </si>
  <si>
    <t>14-11-2024</t>
  </si>
  <si>
    <t>P1353</t>
  </si>
  <si>
    <t>P1354</t>
  </si>
  <si>
    <t>P1355</t>
  </si>
  <si>
    <t>P1356</t>
  </si>
  <si>
    <t>P1357</t>
  </si>
  <si>
    <t>23-08-2024</t>
  </si>
  <si>
    <t>P1358</t>
  </si>
  <si>
    <t>P1359</t>
  </si>
  <si>
    <t>18-06-2024</t>
  </si>
  <si>
    <t>P1360</t>
  </si>
  <si>
    <t>06-04-2024</t>
  </si>
  <si>
    <t>P1361</t>
  </si>
  <si>
    <t>P1362</t>
  </si>
  <si>
    <t>P1363</t>
  </si>
  <si>
    <t>P1364</t>
  </si>
  <si>
    <t>P1365</t>
  </si>
  <si>
    <t>P1366</t>
  </si>
  <si>
    <t>P1367</t>
  </si>
  <si>
    <t>21-06-2024</t>
  </si>
  <si>
    <t>P1368</t>
  </si>
  <si>
    <t>P1369</t>
  </si>
  <si>
    <t>P1370</t>
  </si>
  <si>
    <t>P1371</t>
  </si>
  <si>
    <t>05-09-2024</t>
  </si>
  <si>
    <t>P1372</t>
  </si>
  <si>
    <t>25-12-2024</t>
  </si>
  <si>
    <t>P1373</t>
  </si>
  <si>
    <t>08-04-2024</t>
  </si>
  <si>
    <t>P1374</t>
  </si>
  <si>
    <t>P1375</t>
  </si>
  <si>
    <t>P1376</t>
  </si>
  <si>
    <t>22-11-2024</t>
  </si>
  <si>
    <t>P1377</t>
  </si>
  <si>
    <t>P1378</t>
  </si>
  <si>
    <t>P1379</t>
  </si>
  <si>
    <t>05-03-2024</t>
  </si>
  <si>
    <t>P1380</t>
  </si>
  <si>
    <t>P1381</t>
  </si>
  <si>
    <t>20-06-2024</t>
  </si>
  <si>
    <t>P1382</t>
  </si>
  <si>
    <t>05-10-2024</t>
  </si>
  <si>
    <t>P1383</t>
  </si>
  <si>
    <t>23-12-2024</t>
  </si>
  <si>
    <t>P1384</t>
  </si>
  <si>
    <t>08-07-2024</t>
  </si>
  <si>
    <t>P1385</t>
  </si>
  <si>
    <t>23-09-2024</t>
  </si>
  <si>
    <t>P1386</t>
  </si>
  <si>
    <t>25-07-2024</t>
  </si>
  <si>
    <t>P1387</t>
  </si>
  <si>
    <t>P1388</t>
  </si>
  <si>
    <t>P1389</t>
  </si>
  <si>
    <t>17-10-2024</t>
  </si>
  <si>
    <t>P1390</t>
  </si>
  <si>
    <t>P1391</t>
  </si>
  <si>
    <t>19-11-2024</t>
  </si>
  <si>
    <t>P1392</t>
  </si>
  <si>
    <t>P1393</t>
  </si>
  <si>
    <t>04-09-2024</t>
  </si>
  <si>
    <t>P1394</t>
  </si>
  <si>
    <t>P1395</t>
  </si>
  <si>
    <t>14-08-2024</t>
  </si>
  <si>
    <t>P1396</t>
  </si>
  <si>
    <t>11-07-2024</t>
  </si>
  <si>
    <t>P1397</t>
  </si>
  <si>
    <t>P1398</t>
  </si>
  <si>
    <t>P1399</t>
  </si>
  <si>
    <t>P1400</t>
  </si>
  <si>
    <t>P1401</t>
  </si>
  <si>
    <t>07-06-2024</t>
  </si>
  <si>
    <t>P1402</t>
  </si>
  <si>
    <t>13-07-2024</t>
  </si>
  <si>
    <t>P1403</t>
  </si>
  <si>
    <t>P1404</t>
  </si>
  <si>
    <t>P1405</t>
  </si>
  <si>
    <t>27-01-2024</t>
  </si>
  <si>
    <t>P1406</t>
  </si>
  <si>
    <t>P1407</t>
  </si>
  <si>
    <t>P1408</t>
  </si>
  <si>
    <t>P1409</t>
  </si>
  <si>
    <t>P1410</t>
  </si>
  <si>
    <t>P1411</t>
  </si>
  <si>
    <t>24-12-2024</t>
  </si>
  <si>
    <t>P1412</t>
  </si>
  <si>
    <t>P1413</t>
  </si>
  <si>
    <t>P1414</t>
  </si>
  <si>
    <t>P1415</t>
  </si>
  <si>
    <t>P1416</t>
  </si>
  <si>
    <t>P1417</t>
  </si>
  <si>
    <t>07-01-2024</t>
  </si>
  <si>
    <t>P1418</t>
  </si>
  <si>
    <t>P1419</t>
  </si>
  <si>
    <t>P1420</t>
  </si>
  <si>
    <t>P1421</t>
  </si>
  <si>
    <t>23-10-2024</t>
  </si>
  <si>
    <t>P1422</t>
  </si>
  <si>
    <t>P1423</t>
  </si>
  <si>
    <t>P1424</t>
  </si>
  <si>
    <t>28-11-2024</t>
  </si>
  <si>
    <t>P1425</t>
  </si>
  <si>
    <t>P1426</t>
  </si>
  <si>
    <t>24-01-2024</t>
  </si>
  <si>
    <t>P1427</t>
  </si>
  <si>
    <t>31-12-2024</t>
  </si>
  <si>
    <t>P1428</t>
  </si>
  <si>
    <t>P1429</t>
  </si>
  <si>
    <t>28-02-2024</t>
  </si>
  <si>
    <t>P1430</t>
  </si>
  <si>
    <t>10-03-2024</t>
  </si>
  <si>
    <t>P1431</t>
  </si>
  <si>
    <t>06-06-2024</t>
  </si>
  <si>
    <t>P1432</t>
  </si>
  <si>
    <t>08-08-2024</t>
  </si>
  <si>
    <t>P1433</t>
  </si>
  <si>
    <t>P1434</t>
  </si>
  <si>
    <t>P1435</t>
  </si>
  <si>
    <t>15-10-2024</t>
  </si>
  <si>
    <t>P1436</t>
  </si>
  <si>
    <t>P1437</t>
  </si>
  <si>
    <t>P1438</t>
  </si>
  <si>
    <t>10-11-2024</t>
  </si>
  <si>
    <t>P1439</t>
  </si>
  <si>
    <t>P1440</t>
  </si>
  <si>
    <t>P1441</t>
  </si>
  <si>
    <t>25-09-2024</t>
  </si>
  <si>
    <t>P1442</t>
  </si>
  <si>
    <t>P1443</t>
  </si>
  <si>
    <t>P1444</t>
  </si>
  <si>
    <t>P1445</t>
  </si>
  <si>
    <t>P1446</t>
  </si>
  <si>
    <t>P1447</t>
  </si>
  <si>
    <t>11-03-2024</t>
  </si>
  <si>
    <t>P1448</t>
  </si>
  <si>
    <t>31-07-2024</t>
  </si>
  <si>
    <t>P1449</t>
  </si>
  <si>
    <t>P1450</t>
  </si>
  <si>
    <t>P1451</t>
  </si>
  <si>
    <t>P1452</t>
  </si>
  <si>
    <t>P1453</t>
  </si>
  <si>
    <t>22-12-2024</t>
  </si>
  <si>
    <t>P1454</t>
  </si>
  <si>
    <t>P1455</t>
  </si>
  <si>
    <t>P1456</t>
  </si>
  <si>
    <t>P1457</t>
  </si>
  <si>
    <t>P1458</t>
  </si>
  <si>
    <t>09-11-2024</t>
  </si>
  <si>
    <t>P1459</t>
  </si>
  <si>
    <t>P1460</t>
  </si>
  <si>
    <t>P1461</t>
  </si>
  <si>
    <t>P1462</t>
  </si>
  <si>
    <t>P1463</t>
  </si>
  <si>
    <t>13-08-2024</t>
  </si>
  <si>
    <t>P1464</t>
  </si>
  <si>
    <t>P1465</t>
  </si>
  <si>
    <t>07-08-2024</t>
  </si>
  <si>
    <t>P1466</t>
  </si>
  <si>
    <t>25-03-2024</t>
  </si>
  <si>
    <t>P1467</t>
  </si>
  <si>
    <t>P1468</t>
  </si>
  <si>
    <t>17-03-2024</t>
  </si>
  <si>
    <t>P1469</t>
  </si>
  <si>
    <t>15-08-2024</t>
  </si>
  <si>
    <t>P1470</t>
  </si>
  <si>
    <t>P1471</t>
  </si>
  <si>
    <t>P1472</t>
  </si>
  <si>
    <t>P1473</t>
  </si>
  <si>
    <t>06-07-2024</t>
  </si>
  <si>
    <t>P1474</t>
  </si>
  <si>
    <t>P1475</t>
  </si>
  <si>
    <t>P1476</t>
  </si>
  <si>
    <t>P1477</t>
  </si>
  <si>
    <t>11-12-2024</t>
  </si>
  <si>
    <t>P1478</t>
  </si>
  <si>
    <t>06-08-2024</t>
  </si>
  <si>
    <t>P1479</t>
  </si>
  <si>
    <t>P1480</t>
  </si>
  <si>
    <t>20-12-2024</t>
  </si>
  <si>
    <t>P1481</t>
  </si>
  <si>
    <t>P1482</t>
  </si>
  <si>
    <t>P1483</t>
  </si>
  <si>
    <t>12-11-2024</t>
  </si>
  <si>
    <t>P1484</t>
  </si>
  <si>
    <t>P1485</t>
  </si>
  <si>
    <t>05-04-2024</t>
  </si>
  <si>
    <t>P1486</t>
  </si>
  <si>
    <t>P1487</t>
  </si>
  <si>
    <t>15-01-2024</t>
  </si>
  <si>
    <t>P1488</t>
  </si>
  <si>
    <t>03-09-2024</t>
  </si>
  <si>
    <t>P1489</t>
  </si>
  <si>
    <t>17-12-2024</t>
  </si>
  <si>
    <t>P1490</t>
  </si>
  <si>
    <t>22-03-2024</t>
  </si>
  <si>
    <t>P1491</t>
  </si>
  <si>
    <t>P1492</t>
  </si>
  <si>
    <t>P1493</t>
  </si>
  <si>
    <t>P1494</t>
  </si>
  <si>
    <t>23-07-2024</t>
  </si>
  <si>
    <t>P1495</t>
  </si>
  <si>
    <t>P1496</t>
  </si>
  <si>
    <t>18-02-2024</t>
  </si>
  <si>
    <t>P1497</t>
  </si>
  <si>
    <t>P1498</t>
  </si>
  <si>
    <t>P1499</t>
  </si>
  <si>
    <t>10-10-2024</t>
  </si>
  <si>
    <t>P1500</t>
  </si>
  <si>
    <t>Duplicate Check</t>
  </si>
  <si>
    <t>Negative Stock Check</t>
  </si>
  <si>
    <t>Missing Supplier</t>
  </si>
  <si>
    <t>Remark</t>
  </si>
  <si>
    <t>Row Labels</t>
  </si>
  <si>
    <t>Grand Total</t>
  </si>
  <si>
    <t>Total Current Stock</t>
  </si>
  <si>
    <t>Sum of Stock Value</t>
  </si>
  <si>
    <t>INVENTORY DASHBOARD</t>
  </si>
  <si>
    <t>OK</t>
  </si>
  <si>
    <t>Low Stock</t>
  </si>
  <si>
    <t>Details for Total Current Stock - Product Name: SSD</t>
  </si>
  <si>
    <t>Details for Total Current Stock - Product Name: Keyboard</t>
  </si>
  <si>
    <t>TOTAL PRODUCTS</t>
  </si>
  <si>
    <t>TOTAL STOCK</t>
  </si>
  <si>
    <t>TOTAL INVENTORY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</si>
</sst>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quot;₹&quot;\ #,##0.00"/>
    <numFmt numFmtId="172" formatCode="&quot;₹&quot;\ #,##0"/>
  </numFmts>
  <fonts count="7" x14ac:knownFonts="1">
    <font>
      <sz val="11"/>
      <color theme="1"/>
      <name val="Calibri"/>
      <family val="2"/>
      <scheme val="minor"/>
    </font>
    <font>
      <b/>
      <sz val="11"/>
      <color theme="1"/>
      <name val="Calibri"/>
      <family val="2"/>
      <scheme val="minor"/>
    </font>
    <font>
      <sz val="18"/>
      <color theme="1"/>
      <name val="Calibri"/>
      <family val="2"/>
      <scheme val="minor"/>
    </font>
    <font>
      <b/>
      <sz val="26"/>
      <color theme="1"/>
      <name val="Calibri"/>
      <family val="2"/>
      <scheme val="minor"/>
    </font>
    <font>
      <sz val="26"/>
      <color theme="1"/>
      <name val="Calibri"/>
      <family val="2"/>
      <scheme val="minor"/>
    </font>
    <font>
      <b/>
      <sz val="16"/>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0" borderId="0" xfId="0" applyBorder="1"/>
    <xf numFmtId="0" fontId="2" fillId="0" borderId="0" xfId="0" applyFont="1" applyBorder="1" applyAlignment="1">
      <alignment vertical="center"/>
    </xf>
    <xf numFmtId="0" fontId="1" fillId="0" borderId="0" xfId="0" applyFont="1"/>
    <xf numFmtId="169" fontId="0" fillId="0" borderId="0" xfId="0" applyNumberFormat="1"/>
    <xf numFmtId="0" fontId="3" fillId="0" borderId="0" xfId="0" applyFont="1" applyBorder="1" applyAlignment="1">
      <alignment vertical="center"/>
    </xf>
    <xf numFmtId="0" fontId="4" fillId="0" borderId="0" xfId="0" applyFont="1" applyBorder="1"/>
    <xf numFmtId="0" fontId="5" fillId="0" borderId="0" xfId="0" applyFont="1" applyBorder="1"/>
    <xf numFmtId="0" fontId="6" fillId="0" borderId="0" xfId="0" applyFont="1" applyBorder="1"/>
    <xf numFmtId="0" fontId="6" fillId="0" borderId="0" xfId="0" applyFont="1" applyBorder="1" applyAlignment="1">
      <alignment vertical="center"/>
    </xf>
    <xf numFmtId="172" fontId="2" fillId="0" borderId="0" xfId="0" applyNumberFormat="1" applyFont="1" applyBorder="1" applyAlignment="1">
      <alignment vertical="center"/>
    </xf>
  </cellXfs>
  <cellStyles count="1">
    <cellStyle name="Normal" xfId="0" builtinId="0"/>
  </cellStyles>
  <dxfs count="26">
    <dxf>
      <font>
        <color rgb="FF9C0006"/>
      </font>
      <fill>
        <patternFill>
          <bgColor rgb="FFFFC7CE"/>
        </patternFill>
      </fill>
    </dxf>
    <dxf>
      <font>
        <color rgb="FF9C0006"/>
      </font>
      <fill>
        <patternFill>
          <bgColor rgb="FFFFC7CE"/>
        </patternFill>
      </fill>
    </dxf>
    <dxf>
      <numFmt numFmtId="169"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9"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[Excel_Inventory_Dashboard_Project.xlsx]Sheet5!PivotTable2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Product Stock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Sheet5!$A$2:$A$12</c:f>
              <c:strCache>
                <c:ptCount val="10"/>
                <c:pt idx="0">
                  <c:v>Headphones</c:v>
                </c:pt>
                <c:pt idx="1">
                  <c:v>Keyboard</c:v>
                </c:pt>
                <c:pt idx="2">
                  <c:v>Laptop</c:v>
                </c:pt>
                <c:pt idx="3">
                  <c:v>Monitor</c:v>
                </c:pt>
                <c:pt idx="4">
                  <c:v>Mouse</c:v>
                </c:pt>
                <c:pt idx="5">
                  <c:v>Printer</c:v>
                </c:pt>
                <c:pt idx="6">
                  <c:v>Router</c:v>
                </c:pt>
                <c:pt idx="7">
                  <c:v>SSD</c:v>
                </c:pt>
                <c:pt idx="8">
                  <c:v>Tablet</c:v>
                </c:pt>
                <c:pt idx="9">
                  <c:v>Webcam</c:v>
                </c:pt>
              </c:strCache>
            </c:strRef>
          </c:cat>
          <c:val>
            <c:numRef>
              <c:f>Sheet5!$B$2:$B$12</c:f>
              <c:numCache>
                <c:formatCode>0.00</c:formatCode>
                <c:ptCount val="10"/>
                <c:pt idx="0">
                  <c:v>1458</c:v>
                </c:pt>
                <c:pt idx="1">
                  <c:v>2560</c:v>
                </c:pt>
                <c:pt idx="2">
                  <c:v>1446</c:v>
                </c:pt>
                <c:pt idx="3">
                  <c:v>1786</c:v>
                </c:pt>
                <c:pt idx="4">
                  <c:v>1018</c:v>
                </c:pt>
                <c:pt idx="5">
                  <c:v>1433</c:v>
                </c:pt>
                <c:pt idx="6">
                  <c:v>1877</c:v>
                </c:pt>
                <c:pt idx="7">
                  <c:v>1630</c:v>
                </c:pt>
                <c:pt idx="8">
                  <c:v>1247</c:v>
                </c:pt>
                <c:pt idx="9">
                  <c:v>2410</c:v>
                </c:pt>
              </c:numCache>
            </c:numRef>
          </c:val>
          <c:extLst>
            <c:ext xmlns:c16="http://schemas.microsoft.com/office/drawing/2014/chart" uri="{C3380CC4-5D6E-409C-BE32-E72D297353CC}">
              <c16:uniqueId val="{00000000-E87A-44AA-9502-C88ECF271A8A}"/>
            </c:ext>
          </c:extLst>
        </c:ser>
        <c:dLbls>
          <c:showLegendKey val="0"/>
          <c:showVal val="1"/>
          <c:showCatName val="0"/>
          <c:showSerName val="0"/>
          <c:showPercent val="0"/>
          <c:showBubbleSize val="0"/>
        </c:dLbls>
        <c:gapWidth val="150"/>
        <c:overlap val="-25"/>
        <c:axId val="309773807"/>
        <c:axId val="309774287"/>
      </c:barChart>
      <c:catAx>
        <c:axId val="309773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9774287"/>
        <c:crosses val="autoZero"/>
        <c:auto val="1"/>
        <c:lblAlgn val="ctr"/>
        <c:lblOffset val="100"/>
        <c:noMultiLvlLbl val="0"/>
      </c:catAx>
      <c:valAx>
        <c:axId val="309774287"/>
        <c:scaling>
          <c:orientation val="minMax"/>
        </c:scaling>
        <c:delete val="1"/>
        <c:axPos val="l"/>
        <c:numFmt formatCode="0.00" sourceLinked="1"/>
        <c:majorTickMark val="none"/>
        <c:minorTickMark val="none"/>
        <c:tickLblPos val="nextTo"/>
        <c:crossAx val="3097738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[Excel_Inventory_Dashboard_Project.xlsx]Sheet5!PivotTable8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Inventory Value by Supplier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Sheet5!$E$1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Sheet5!$D$2:$D$12</c:f>
              <c:strCache>
                <c:ptCount val="10"/>
                <c:pt idx="0">
                  <c:v>Acer</c:v>
                </c:pt>
                <c:pt idx="1">
                  <c:v>Asus</c:v>
                </c:pt>
                <c:pt idx="2">
                  <c:v>Canon</c:v>
                </c:pt>
                <c:pt idx="3">
                  <c:v>Dell</c:v>
                </c:pt>
                <c:pt idx="4">
                  <c:v>HP</c:v>
                </c:pt>
                <c:pt idx="5">
                  <c:v>Lenovo</c:v>
                </c:pt>
                <c:pt idx="6">
                  <c:v>Logitech</c:v>
                </c:pt>
                <c:pt idx="7">
                  <c:v>Samsung</c:v>
                </c:pt>
                <c:pt idx="8">
                  <c:v>Seagate</c:v>
                </c:pt>
                <c:pt idx="9">
                  <c:v>TP-Link</c:v>
                </c:pt>
              </c:strCache>
            </c:strRef>
          </c:cat>
          <c:val>
            <c:numRef>
              <c:f>Sheet5!$E$2:$E$12</c:f>
              <c:numCache>
                <c:formatCode>General</c:formatCode>
                <c:ptCount val="10"/>
                <c:pt idx="0">
                  <c:v>11512100</c:v>
                </c:pt>
                <c:pt idx="1">
                  <c:v>10586500</c:v>
                </c:pt>
                <c:pt idx="2">
                  <c:v>33051200</c:v>
                </c:pt>
                <c:pt idx="3">
                  <c:v>3316700</c:v>
                </c:pt>
                <c:pt idx="4">
                  <c:v>10053300</c:v>
                </c:pt>
                <c:pt idx="5">
                  <c:v>14612900</c:v>
                </c:pt>
                <c:pt idx="6">
                  <c:v>9188200</c:v>
                </c:pt>
                <c:pt idx="7">
                  <c:v>24981100</c:v>
                </c:pt>
                <c:pt idx="8">
                  <c:v>17695800</c:v>
                </c:pt>
                <c:pt idx="9">
                  <c:v>21366300</c:v>
                </c:pt>
              </c:numCache>
            </c:numRef>
          </c:val>
          <c:extLst>
            <c:ext xmlns:c16="http://schemas.microsoft.com/office/drawing/2014/chart" uri="{C3380CC4-5D6E-409C-BE32-E72D297353CC}">
              <c16:uniqueId val="{00000000-39CB-488A-B481-8E59C45E578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345281</xdr:colOff>
      <xdr:row>6</xdr:row>
      <xdr:rowOff>71369</xdr:rowOff>
    </xdr:from>
    <xdr:to>
      <xdr:col>6</xdr:col>
      <xdr:colOff>333374</xdr:colOff>
      <xdr:row>22</xdr:row>
      <xdr:rowOff>154781</xdr:rowOff>
    </xdr:to>
    <xdr:graphicFrame macro="">
      <xdr:nvGraphicFramePr>
        <xdr:cNvPr id="2" name="Chart 1">
          <a:extLst>
            <a:ext uri="{FF2B5EF4-FFF2-40B4-BE49-F238E27FC236}">
              <a16:creationId xmlns:a16="http://schemas.microsoft.com/office/drawing/2014/main" id="{9877BECD-AA46-A697-6E04-DC2F6E11F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702302</xdr:colOff>
      <xdr:row>6</xdr:row>
      <xdr:rowOff>86567</xdr:rowOff>
    </xdr:from>
    <xdr:to>
      <xdr:col>13</xdr:col>
      <xdr:colOff>345282</xdr:colOff>
      <xdr:row>22</xdr:row>
      <xdr:rowOff>119063</xdr:rowOff>
    </xdr:to>
    <xdr:graphicFrame macro="">
      <xdr:nvGraphicFramePr>
        <xdr:cNvPr id="3" name="Chart 2">
          <a:extLst>
            <a:ext uri="{FF2B5EF4-FFF2-40B4-BE49-F238E27FC236}">
              <a16:creationId xmlns:a16="http://schemas.microsoft.com/office/drawing/2014/main" id="{81C4AE78-AA6E-49A2-4A60-88CFF1632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409630</xdr:colOff>
      <xdr:row>8</xdr:row>
      <xdr:rowOff>131625</xdr:rowOff>
    </xdr:from>
    <xdr:to>
      <xdr:col>15</xdr:col>
      <xdr:colOff>452437</xdr:colOff>
      <xdr:row>19</xdr:row>
      <xdr:rowOff>53331</xdr:rowOff>
    </xdr:to>
    <mc:AlternateContent xmlns:mc="http://schemas.openxmlformats.org/markup-compatibility/2006">
      <mc:Choice xmlns:a14="http://schemas.microsoft.com/office/drawing/2010/main" Requires="a14">
        <xdr:graphicFrame macro="">
          <xdr:nvGraphicFramePr>
            <xdr:cNvPr id="4" name="Product Name">
              <a:extLst>
                <a:ext uri="{FF2B5EF4-FFF2-40B4-BE49-F238E27FC236}">
                  <a16:creationId xmlns:a16="http://schemas.microsoft.com/office/drawing/2014/main" id="{C35CC8D4-30F5-F76E-CACF-56290085DA17}"/>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1792005" y="2096156"/>
              <a:ext cx="1257245" cy="2017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381574</xdr:colOff>
      <xdr:row>0</xdr:row>
      <xdr:rowOff>27216</xdr:rowOff>
    </xdr:from>
    <xdr:to>
      <xdr:col>15</xdr:col>
      <xdr:colOff>412793</xdr:colOff>
      <xdr:row>8</xdr:row>
      <xdr:rowOff>110558</xdr:rowOff>
    </xdr:to>
    <mc:AlternateContent xmlns:mc="http://schemas.openxmlformats.org/markup-compatibility/2006">
      <mc:Choice xmlns:a14="http://schemas.microsoft.com/office/drawing/2010/main" Requires="a14">
        <xdr:graphicFrame macro="">
          <xdr:nvGraphicFramePr>
            <xdr:cNvPr id="5" name="Supplier">
              <a:extLst>
                <a:ext uri="{FF2B5EF4-FFF2-40B4-BE49-F238E27FC236}">
                  <a16:creationId xmlns:a16="http://schemas.microsoft.com/office/drawing/2014/main" id="{464E4E63-14D5-35F4-31BE-B9A4CE90863A}"/>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11763949" y="27216"/>
              <a:ext cx="1245657" cy="2047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PUSPALAK" refreshedDate="46093.682043518522" createdVersion="8" refreshedVersion="8" minRefreshableVersion="3" recordCount="500" xr:uid="{493D03C2-8633-44CA-B801-113042C85F91}">
  <cacheSource type="worksheet">
    <worksheetSource ref="A1:I501" sheet="Stock_Calculation"/>
  </cacheSource>
  <cacheFields count="9">
    <cacheField name="Product ID" numFmtId="0">
      <sharedItems/>
    </cacheField>
    <cacheField name="Product Name" numFmtId="0">
      <sharedItems count="10">
        <s v="Keyboard"/>
        <s v="Webcam"/>
        <s v="Printer"/>
        <s v="Mouse"/>
        <s v="Laptop"/>
        <s v="Router"/>
        <s v="Monitor"/>
        <s v="Tablet"/>
        <s v="Headphones"/>
        <s v="SSD"/>
      </sharedItems>
    </cacheField>
    <cacheField name="Supplier" numFmtId="0">
      <sharedItems count="10">
        <s v="Samsung"/>
        <s v="TP-Link"/>
        <s v="Dell"/>
        <s v="Acer"/>
        <s v="Lenovo"/>
        <s v="HP"/>
        <s v="Canon"/>
        <s v="Seagate"/>
        <s v="Logitech"/>
        <s v="Asus"/>
      </sharedItems>
    </cacheField>
    <cacheField name="Stock In" numFmtId="0">
      <sharedItems containsSemiMixedTypes="0" containsString="0" containsNumber="1" containsInteger="1" minValue="20" maxValue="199"/>
    </cacheField>
    <cacheField name="Stock Out" numFmtId="0">
      <sharedItems containsSemiMixedTypes="0" containsString="0" containsNumber="1" containsInteger="1" minValue="0" maxValue="150"/>
    </cacheField>
    <cacheField name="Unit Price" numFmtId="0">
      <sharedItems containsSemiMixedTypes="0" containsString="0" containsNumber="1" containsInteger="1" minValue="500" maxValue="55000"/>
    </cacheField>
    <cacheField name="Current Stock" numFmtId="0">
      <sharedItems containsSemiMixedTypes="0" containsString="0" containsNumber="1" containsInteger="1" minValue="-109" maxValue="188"/>
    </cacheField>
    <cacheField name="Stock Value" numFmtId="0">
      <sharedItems containsSemiMixedTypes="0" containsString="0" containsNumber="1" containsInteger="1" minValue="-4180000" maxValue="9240000"/>
    </cacheField>
    <cacheField name="Stock Status" numFmtId="0">
      <sharedItems count="2">
        <s v="OK"/>
        <s v="Low Stock"/>
      </sharedItems>
    </cacheField>
  </cacheFields>
  <extLst>
    <ext xmlns:x14="http://schemas.microsoft.com/office/spreadsheetml/2009/9/main" uri="{725AE2AE-9491-48be-B2B4-4EB974FC3084}">
      <x14:pivotCacheDefinition pivotCacheId="175081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1001"/>
    <x v="0"/>
    <x v="0"/>
    <n v="184"/>
    <n v="14"/>
    <n v="500"/>
    <n v="170"/>
    <n v="85000"/>
    <x v="0"/>
  </r>
  <r>
    <s v="P1002"/>
    <x v="1"/>
    <x v="1"/>
    <n v="47"/>
    <n v="76"/>
    <n v="2500"/>
    <n v="-29"/>
    <n v="-72500"/>
    <x v="1"/>
  </r>
  <r>
    <s v="P1003"/>
    <x v="2"/>
    <x v="2"/>
    <n v="64"/>
    <n v="82"/>
    <n v="55000"/>
    <n v="-18"/>
    <n v="-990000"/>
    <x v="1"/>
  </r>
  <r>
    <s v="P1004"/>
    <x v="3"/>
    <x v="3"/>
    <n v="53"/>
    <n v="133"/>
    <n v="2500"/>
    <n v="-80"/>
    <n v="-200000"/>
    <x v="1"/>
  </r>
  <r>
    <s v="P1005"/>
    <x v="0"/>
    <x v="4"/>
    <n v="197"/>
    <n v="22"/>
    <n v="5000"/>
    <n v="175"/>
    <n v="875000"/>
    <x v="0"/>
  </r>
  <r>
    <s v="P1006"/>
    <x v="4"/>
    <x v="5"/>
    <n v="86"/>
    <n v="81"/>
    <n v="30000"/>
    <n v="5"/>
    <n v="150000"/>
    <x v="1"/>
  </r>
  <r>
    <s v="P1007"/>
    <x v="5"/>
    <x v="3"/>
    <n v="102"/>
    <n v="69"/>
    <n v="30000"/>
    <n v="33"/>
    <n v="990000"/>
    <x v="0"/>
  </r>
  <r>
    <s v="P1008"/>
    <x v="5"/>
    <x v="6"/>
    <n v="103"/>
    <n v="18"/>
    <n v="1500"/>
    <n v="85"/>
    <n v="127500"/>
    <x v="0"/>
  </r>
  <r>
    <s v="P1009"/>
    <x v="6"/>
    <x v="3"/>
    <n v="98"/>
    <n v="149"/>
    <n v="30000"/>
    <n v="-51"/>
    <n v="-1530000"/>
    <x v="1"/>
  </r>
  <r>
    <s v="P1010"/>
    <x v="1"/>
    <x v="7"/>
    <n v="131"/>
    <n v="5"/>
    <n v="2500"/>
    <n v="126"/>
    <n v="315000"/>
    <x v="0"/>
  </r>
  <r>
    <s v="P1011"/>
    <x v="7"/>
    <x v="1"/>
    <n v="84"/>
    <n v="48"/>
    <n v="30000"/>
    <n v="36"/>
    <n v="1080000"/>
    <x v="0"/>
  </r>
  <r>
    <s v="P1012"/>
    <x v="8"/>
    <x v="8"/>
    <n v="97"/>
    <n v="10"/>
    <n v="2500"/>
    <n v="87"/>
    <n v="217500"/>
    <x v="0"/>
  </r>
  <r>
    <s v="P1013"/>
    <x v="6"/>
    <x v="8"/>
    <n v="160"/>
    <n v="15"/>
    <n v="1500"/>
    <n v="145"/>
    <n v="217500"/>
    <x v="0"/>
  </r>
  <r>
    <s v="P1014"/>
    <x v="1"/>
    <x v="1"/>
    <n v="127"/>
    <n v="85"/>
    <n v="1200"/>
    <n v="42"/>
    <n v="50400"/>
    <x v="0"/>
  </r>
  <r>
    <s v="P1015"/>
    <x v="7"/>
    <x v="1"/>
    <n v="112"/>
    <n v="90"/>
    <n v="5000"/>
    <n v="22"/>
    <n v="110000"/>
    <x v="0"/>
  </r>
  <r>
    <s v="P1016"/>
    <x v="0"/>
    <x v="8"/>
    <n v="31"/>
    <n v="58"/>
    <n v="2500"/>
    <n v="-27"/>
    <n v="-67500"/>
    <x v="1"/>
  </r>
  <r>
    <s v="P1017"/>
    <x v="7"/>
    <x v="4"/>
    <n v="162"/>
    <n v="105"/>
    <n v="500"/>
    <n v="57"/>
    <n v="28500"/>
    <x v="0"/>
  </r>
  <r>
    <s v="P1018"/>
    <x v="3"/>
    <x v="4"/>
    <n v="28"/>
    <n v="29"/>
    <n v="800"/>
    <n v="-1"/>
    <n v="-800"/>
    <x v="1"/>
  </r>
  <r>
    <s v="P1019"/>
    <x v="4"/>
    <x v="3"/>
    <n v="168"/>
    <n v="77"/>
    <n v="2500"/>
    <n v="91"/>
    <n v="227500"/>
    <x v="0"/>
  </r>
  <r>
    <s v="P1020"/>
    <x v="5"/>
    <x v="1"/>
    <n v="185"/>
    <n v="117"/>
    <n v="800"/>
    <n v="68"/>
    <n v="54400"/>
    <x v="0"/>
  </r>
  <r>
    <s v="P1021"/>
    <x v="2"/>
    <x v="5"/>
    <n v="138"/>
    <n v="83"/>
    <n v="500"/>
    <n v="55"/>
    <n v="27500"/>
    <x v="0"/>
  </r>
  <r>
    <s v="P1022"/>
    <x v="7"/>
    <x v="7"/>
    <n v="44"/>
    <n v="84"/>
    <n v="5000"/>
    <n v="-40"/>
    <n v="-200000"/>
    <x v="1"/>
  </r>
  <r>
    <s v="P1023"/>
    <x v="2"/>
    <x v="9"/>
    <n v="122"/>
    <n v="83"/>
    <n v="30000"/>
    <n v="39"/>
    <n v="1170000"/>
    <x v="0"/>
  </r>
  <r>
    <s v="P1024"/>
    <x v="3"/>
    <x v="8"/>
    <n v="25"/>
    <n v="89"/>
    <n v="1200"/>
    <n v="-64"/>
    <n v="-76800"/>
    <x v="1"/>
  </r>
  <r>
    <s v="P1025"/>
    <x v="2"/>
    <x v="4"/>
    <n v="32"/>
    <n v="70"/>
    <n v="55000"/>
    <n v="-38"/>
    <n v="-2090000"/>
    <x v="1"/>
  </r>
  <r>
    <s v="P1026"/>
    <x v="8"/>
    <x v="4"/>
    <n v="173"/>
    <n v="33"/>
    <n v="5000"/>
    <n v="140"/>
    <n v="700000"/>
    <x v="0"/>
  </r>
  <r>
    <s v="P1027"/>
    <x v="8"/>
    <x v="7"/>
    <n v="170"/>
    <n v="110"/>
    <n v="1500"/>
    <n v="60"/>
    <n v="90000"/>
    <x v="0"/>
  </r>
  <r>
    <s v="P1028"/>
    <x v="5"/>
    <x v="1"/>
    <n v="72"/>
    <n v="34"/>
    <n v="800"/>
    <n v="38"/>
    <n v="30400"/>
    <x v="0"/>
  </r>
  <r>
    <s v="P1029"/>
    <x v="3"/>
    <x v="3"/>
    <n v="108"/>
    <n v="107"/>
    <n v="800"/>
    <n v="1"/>
    <n v="800"/>
    <x v="1"/>
  </r>
  <r>
    <s v="P1030"/>
    <x v="2"/>
    <x v="0"/>
    <n v="137"/>
    <n v="109"/>
    <n v="30000"/>
    <n v="28"/>
    <n v="840000"/>
    <x v="0"/>
  </r>
  <r>
    <s v="P1031"/>
    <x v="3"/>
    <x v="0"/>
    <n v="149"/>
    <n v="104"/>
    <n v="1200"/>
    <n v="45"/>
    <n v="54000"/>
    <x v="0"/>
  </r>
  <r>
    <s v="P1032"/>
    <x v="4"/>
    <x v="9"/>
    <n v="34"/>
    <n v="129"/>
    <n v="2500"/>
    <n v="-95"/>
    <n v="-237500"/>
    <x v="1"/>
  </r>
  <r>
    <s v="P1033"/>
    <x v="3"/>
    <x v="6"/>
    <n v="138"/>
    <n v="48"/>
    <n v="800"/>
    <n v="90"/>
    <n v="72000"/>
    <x v="0"/>
  </r>
  <r>
    <s v="P1034"/>
    <x v="9"/>
    <x v="6"/>
    <n v="39"/>
    <n v="31"/>
    <n v="500"/>
    <n v="8"/>
    <n v="4000"/>
    <x v="1"/>
  </r>
  <r>
    <s v="P1035"/>
    <x v="9"/>
    <x v="4"/>
    <n v="35"/>
    <n v="142"/>
    <n v="2500"/>
    <n v="-107"/>
    <n v="-267500"/>
    <x v="1"/>
  </r>
  <r>
    <s v="P1036"/>
    <x v="2"/>
    <x v="0"/>
    <n v="85"/>
    <n v="118"/>
    <n v="1500"/>
    <n v="-33"/>
    <n v="-49500"/>
    <x v="1"/>
  </r>
  <r>
    <s v="P1037"/>
    <x v="7"/>
    <x v="4"/>
    <n v="69"/>
    <n v="124"/>
    <n v="12000"/>
    <n v="-55"/>
    <n v="-660000"/>
    <x v="1"/>
  </r>
  <r>
    <s v="P1038"/>
    <x v="7"/>
    <x v="5"/>
    <n v="154"/>
    <n v="59"/>
    <n v="2500"/>
    <n v="95"/>
    <n v="237500"/>
    <x v="0"/>
  </r>
  <r>
    <s v="P1039"/>
    <x v="6"/>
    <x v="9"/>
    <n v="118"/>
    <n v="118"/>
    <n v="500"/>
    <n v="0"/>
    <n v="0"/>
    <x v="1"/>
  </r>
  <r>
    <s v="P1040"/>
    <x v="5"/>
    <x v="9"/>
    <n v="173"/>
    <n v="142"/>
    <n v="2500"/>
    <n v="31"/>
    <n v="77500"/>
    <x v="0"/>
  </r>
  <r>
    <s v="P1041"/>
    <x v="5"/>
    <x v="4"/>
    <n v="171"/>
    <n v="5"/>
    <n v="1200"/>
    <n v="166"/>
    <n v="199200"/>
    <x v="0"/>
  </r>
  <r>
    <s v="P1042"/>
    <x v="1"/>
    <x v="1"/>
    <n v="168"/>
    <n v="29"/>
    <n v="30000"/>
    <n v="139"/>
    <n v="4170000"/>
    <x v="0"/>
  </r>
  <r>
    <s v="P1043"/>
    <x v="4"/>
    <x v="7"/>
    <n v="57"/>
    <n v="146"/>
    <n v="500"/>
    <n v="-89"/>
    <n v="-44500"/>
    <x v="1"/>
  </r>
  <r>
    <s v="P1044"/>
    <x v="4"/>
    <x v="0"/>
    <n v="195"/>
    <n v="21"/>
    <n v="500"/>
    <n v="174"/>
    <n v="87000"/>
    <x v="0"/>
  </r>
  <r>
    <s v="P1045"/>
    <x v="7"/>
    <x v="8"/>
    <n v="42"/>
    <n v="139"/>
    <n v="8000"/>
    <n v="-97"/>
    <n v="-776000"/>
    <x v="1"/>
  </r>
  <r>
    <s v="P1046"/>
    <x v="6"/>
    <x v="7"/>
    <n v="85"/>
    <n v="113"/>
    <n v="1500"/>
    <n v="-28"/>
    <n v="-42000"/>
    <x v="1"/>
  </r>
  <r>
    <s v="P1047"/>
    <x v="1"/>
    <x v="3"/>
    <n v="28"/>
    <n v="74"/>
    <n v="55000"/>
    <n v="-46"/>
    <n v="-2530000"/>
    <x v="1"/>
  </r>
  <r>
    <s v="P1048"/>
    <x v="7"/>
    <x v="5"/>
    <n v="182"/>
    <n v="90"/>
    <n v="30000"/>
    <n v="92"/>
    <n v="2760000"/>
    <x v="0"/>
  </r>
  <r>
    <s v="P1049"/>
    <x v="9"/>
    <x v="4"/>
    <n v="82"/>
    <n v="17"/>
    <n v="1500"/>
    <n v="65"/>
    <n v="97500"/>
    <x v="0"/>
  </r>
  <r>
    <s v="P1050"/>
    <x v="1"/>
    <x v="6"/>
    <n v="177"/>
    <n v="56"/>
    <n v="30000"/>
    <n v="121"/>
    <n v="3630000"/>
    <x v="0"/>
  </r>
  <r>
    <s v="P1051"/>
    <x v="6"/>
    <x v="3"/>
    <n v="95"/>
    <n v="42"/>
    <n v="12000"/>
    <n v="53"/>
    <n v="636000"/>
    <x v="0"/>
  </r>
  <r>
    <s v="P1052"/>
    <x v="6"/>
    <x v="1"/>
    <n v="115"/>
    <n v="147"/>
    <n v="1500"/>
    <n v="-32"/>
    <n v="-48000"/>
    <x v="1"/>
  </r>
  <r>
    <s v="P1053"/>
    <x v="2"/>
    <x v="6"/>
    <n v="64"/>
    <n v="142"/>
    <n v="500"/>
    <n v="-78"/>
    <n v="-39000"/>
    <x v="1"/>
  </r>
  <r>
    <s v="P1054"/>
    <x v="3"/>
    <x v="4"/>
    <n v="80"/>
    <n v="87"/>
    <n v="800"/>
    <n v="-7"/>
    <n v="-5600"/>
    <x v="1"/>
  </r>
  <r>
    <s v="P1055"/>
    <x v="6"/>
    <x v="0"/>
    <n v="97"/>
    <n v="59"/>
    <n v="55000"/>
    <n v="38"/>
    <n v="2090000"/>
    <x v="0"/>
  </r>
  <r>
    <s v="P1056"/>
    <x v="1"/>
    <x v="9"/>
    <n v="174"/>
    <n v="147"/>
    <n v="500"/>
    <n v="27"/>
    <n v="13500"/>
    <x v="0"/>
  </r>
  <r>
    <s v="P1057"/>
    <x v="0"/>
    <x v="8"/>
    <n v="108"/>
    <n v="93"/>
    <n v="1200"/>
    <n v="15"/>
    <n v="18000"/>
    <x v="0"/>
  </r>
  <r>
    <s v="P1058"/>
    <x v="4"/>
    <x v="7"/>
    <n v="151"/>
    <n v="62"/>
    <n v="55000"/>
    <n v="89"/>
    <n v="4895000"/>
    <x v="0"/>
  </r>
  <r>
    <s v="P1059"/>
    <x v="7"/>
    <x v="8"/>
    <n v="189"/>
    <n v="31"/>
    <n v="55000"/>
    <n v="158"/>
    <n v="8690000"/>
    <x v="0"/>
  </r>
  <r>
    <s v="P1060"/>
    <x v="0"/>
    <x v="0"/>
    <n v="154"/>
    <n v="38"/>
    <n v="5000"/>
    <n v="116"/>
    <n v="580000"/>
    <x v="0"/>
  </r>
  <r>
    <s v="P1061"/>
    <x v="7"/>
    <x v="2"/>
    <n v="121"/>
    <n v="0"/>
    <n v="2500"/>
    <n v="121"/>
    <n v="302500"/>
    <x v="0"/>
  </r>
  <r>
    <s v="P1062"/>
    <x v="8"/>
    <x v="4"/>
    <n v="136"/>
    <n v="15"/>
    <n v="800"/>
    <n v="121"/>
    <n v="96800"/>
    <x v="0"/>
  </r>
  <r>
    <s v="P1063"/>
    <x v="2"/>
    <x v="2"/>
    <n v="195"/>
    <n v="109"/>
    <n v="800"/>
    <n v="86"/>
    <n v="68800"/>
    <x v="0"/>
  </r>
  <r>
    <s v="P1064"/>
    <x v="0"/>
    <x v="4"/>
    <n v="74"/>
    <n v="85"/>
    <n v="8000"/>
    <n v="-11"/>
    <n v="-88000"/>
    <x v="1"/>
  </r>
  <r>
    <s v="P1065"/>
    <x v="3"/>
    <x v="8"/>
    <n v="87"/>
    <n v="47"/>
    <n v="1200"/>
    <n v="40"/>
    <n v="48000"/>
    <x v="0"/>
  </r>
  <r>
    <s v="P1066"/>
    <x v="4"/>
    <x v="7"/>
    <n v="49"/>
    <n v="44"/>
    <n v="5000"/>
    <n v="5"/>
    <n v="25000"/>
    <x v="1"/>
  </r>
  <r>
    <s v="P1067"/>
    <x v="8"/>
    <x v="0"/>
    <n v="125"/>
    <n v="53"/>
    <n v="1200"/>
    <n v="72"/>
    <n v="86400"/>
    <x v="0"/>
  </r>
  <r>
    <s v="P1068"/>
    <x v="3"/>
    <x v="2"/>
    <n v="109"/>
    <n v="101"/>
    <n v="12000"/>
    <n v="8"/>
    <n v="96000"/>
    <x v="1"/>
  </r>
  <r>
    <s v="P1069"/>
    <x v="7"/>
    <x v="9"/>
    <n v="81"/>
    <n v="18"/>
    <n v="12000"/>
    <n v="63"/>
    <n v="756000"/>
    <x v="0"/>
  </r>
  <r>
    <s v="P1070"/>
    <x v="5"/>
    <x v="4"/>
    <n v="156"/>
    <n v="58"/>
    <n v="30000"/>
    <n v="98"/>
    <n v="2940000"/>
    <x v="0"/>
  </r>
  <r>
    <s v="P1071"/>
    <x v="0"/>
    <x v="8"/>
    <n v="91"/>
    <n v="114"/>
    <n v="2500"/>
    <n v="-23"/>
    <n v="-57500"/>
    <x v="1"/>
  </r>
  <r>
    <s v="P1072"/>
    <x v="9"/>
    <x v="1"/>
    <n v="179"/>
    <n v="72"/>
    <n v="8000"/>
    <n v="107"/>
    <n v="856000"/>
    <x v="0"/>
  </r>
  <r>
    <s v="P1073"/>
    <x v="1"/>
    <x v="4"/>
    <n v="75"/>
    <n v="50"/>
    <n v="2500"/>
    <n v="25"/>
    <n v="62500"/>
    <x v="0"/>
  </r>
  <r>
    <s v="P1074"/>
    <x v="7"/>
    <x v="9"/>
    <n v="70"/>
    <n v="146"/>
    <n v="55000"/>
    <n v="-76"/>
    <n v="-4180000"/>
    <x v="1"/>
  </r>
  <r>
    <s v="P1075"/>
    <x v="4"/>
    <x v="6"/>
    <n v="65"/>
    <n v="17"/>
    <n v="500"/>
    <n v="48"/>
    <n v="24000"/>
    <x v="0"/>
  </r>
  <r>
    <s v="P1076"/>
    <x v="1"/>
    <x v="4"/>
    <n v="138"/>
    <n v="114"/>
    <n v="12000"/>
    <n v="24"/>
    <n v="288000"/>
    <x v="0"/>
  </r>
  <r>
    <s v="P1077"/>
    <x v="8"/>
    <x v="8"/>
    <n v="34"/>
    <n v="26"/>
    <n v="8000"/>
    <n v="8"/>
    <n v="64000"/>
    <x v="1"/>
  </r>
  <r>
    <s v="P1078"/>
    <x v="1"/>
    <x v="4"/>
    <n v="124"/>
    <n v="86"/>
    <n v="1200"/>
    <n v="38"/>
    <n v="45600"/>
    <x v="0"/>
  </r>
  <r>
    <s v="P1079"/>
    <x v="0"/>
    <x v="1"/>
    <n v="127"/>
    <n v="4"/>
    <n v="1200"/>
    <n v="123"/>
    <n v="147600"/>
    <x v="0"/>
  </r>
  <r>
    <s v="P1080"/>
    <x v="6"/>
    <x v="2"/>
    <n v="123"/>
    <n v="106"/>
    <n v="800"/>
    <n v="17"/>
    <n v="13600"/>
    <x v="0"/>
  </r>
  <r>
    <s v="P1081"/>
    <x v="0"/>
    <x v="3"/>
    <n v="74"/>
    <n v="121"/>
    <n v="1500"/>
    <n v="-47"/>
    <n v="-70500"/>
    <x v="1"/>
  </r>
  <r>
    <s v="P1082"/>
    <x v="1"/>
    <x v="3"/>
    <n v="186"/>
    <n v="11"/>
    <n v="12000"/>
    <n v="175"/>
    <n v="2100000"/>
    <x v="0"/>
  </r>
  <r>
    <s v="P1083"/>
    <x v="2"/>
    <x v="9"/>
    <n v="109"/>
    <n v="130"/>
    <n v="12000"/>
    <n v="-21"/>
    <n v="-252000"/>
    <x v="1"/>
  </r>
  <r>
    <s v="P1084"/>
    <x v="5"/>
    <x v="2"/>
    <n v="48"/>
    <n v="118"/>
    <n v="12000"/>
    <n v="-70"/>
    <n v="-840000"/>
    <x v="1"/>
  </r>
  <r>
    <s v="P1085"/>
    <x v="3"/>
    <x v="1"/>
    <n v="149"/>
    <n v="19"/>
    <n v="5000"/>
    <n v="130"/>
    <n v="650000"/>
    <x v="0"/>
  </r>
  <r>
    <s v="P1086"/>
    <x v="4"/>
    <x v="6"/>
    <n v="83"/>
    <n v="111"/>
    <n v="1500"/>
    <n v="-28"/>
    <n v="-42000"/>
    <x v="1"/>
  </r>
  <r>
    <s v="P1087"/>
    <x v="3"/>
    <x v="7"/>
    <n v="75"/>
    <n v="94"/>
    <n v="30000"/>
    <n v="-19"/>
    <n v="-570000"/>
    <x v="1"/>
  </r>
  <r>
    <s v="P1088"/>
    <x v="1"/>
    <x v="5"/>
    <n v="82"/>
    <n v="68"/>
    <n v="5000"/>
    <n v="14"/>
    <n v="70000"/>
    <x v="0"/>
  </r>
  <r>
    <s v="P1089"/>
    <x v="3"/>
    <x v="1"/>
    <n v="66"/>
    <n v="37"/>
    <n v="8000"/>
    <n v="29"/>
    <n v="232000"/>
    <x v="0"/>
  </r>
  <r>
    <s v="P1090"/>
    <x v="9"/>
    <x v="2"/>
    <n v="170"/>
    <n v="116"/>
    <n v="500"/>
    <n v="54"/>
    <n v="27000"/>
    <x v="0"/>
  </r>
  <r>
    <s v="P1091"/>
    <x v="6"/>
    <x v="6"/>
    <n v="94"/>
    <n v="16"/>
    <n v="12000"/>
    <n v="78"/>
    <n v="936000"/>
    <x v="0"/>
  </r>
  <r>
    <s v="P1092"/>
    <x v="1"/>
    <x v="3"/>
    <n v="48"/>
    <n v="30"/>
    <n v="8000"/>
    <n v="18"/>
    <n v="144000"/>
    <x v="0"/>
  </r>
  <r>
    <s v="P1093"/>
    <x v="8"/>
    <x v="7"/>
    <n v="86"/>
    <n v="102"/>
    <n v="2500"/>
    <n v="-16"/>
    <n v="-40000"/>
    <x v="1"/>
  </r>
  <r>
    <s v="P1094"/>
    <x v="9"/>
    <x v="3"/>
    <n v="52"/>
    <n v="102"/>
    <n v="500"/>
    <n v="-50"/>
    <n v="-25000"/>
    <x v="1"/>
  </r>
  <r>
    <s v="P1095"/>
    <x v="1"/>
    <x v="5"/>
    <n v="62"/>
    <n v="79"/>
    <n v="5000"/>
    <n v="-17"/>
    <n v="-85000"/>
    <x v="1"/>
  </r>
  <r>
    <s v="P1096"/>
    <x v="4"/>
    <x v="0"/>
    <n v="63"/>
    <n v="11"/>
    <n v="1500"/>
    <n v="52"/>
    <n v="78000"/>
    <x v="0"/>
  </r>
  <r>
    <s v="P1097"/>
    <x v="3"/>
    <x v="8"/>
    <n v="86"/>
    <n v="128"/>
    <n v="2500"/>
    <n v="-42"/>
    <n v="-105000"/>
    <x v="1"/>
  </r>
  <r>
    <s v="P1098"/>
    <x v="3"/>
    <x v="1"/>
    <n v="36"/>
    <n v="107"/>
    <n v="8000"/>
    <n v="-71"/>
    <n v="-568000"/>
    <x v="1"/>
  </r>
  <r>
    <s v="P1099"/>
    <x v="2"/>
    <x v="5"/>
    <n v="27"/>
    <n v="85"/>
    <n v="5000"/>
    <n v="-58"/>
    <n v="-290000"/>
    <x v="1"/>
  </r>
  <r>
    <s v="P1100"/>
    <x v="4"/>
    <x v="1"/>
    <n v="68"/>
    <n v="122"/>
    <n v="2500"/>
    <n v="-54"/>
    <n v="-135000"/>
    <x v="1"/>
  </r>
  <r>
    <s v="P1101"/>
    <x v="0"/>
    <x v="9"/>
    <n v="93"/>
    <n v="105"/>
    <n v="30000"/>
    <n v="-12"/>
    <n v="-360000"/>
    <x v="1"/>
  </r>
  <r>
    <s v="P1102"/>
    <x v="9"/>
    <x v="7"/>
    <n v="180"/>
    <n v="143"/>
    <n v="55000"/>
    <n v="37"/>
    <n v="2035000"/>
    <x v="0"/>
  </r>
  <r>
    <s v="P1103"/>
    <x v="8"/>
    <x v="4"/>
    <n v="125"/>
    <n v="147"/>
    <n v="1200"/>
    <n v="-22"/>
    <n v="-26400"/>
    <x v="1"/>
  </r>
  <r>
    <s v="P1104"/>
    <x v="6"/>
    <x v="8"/>
    <n v="182"/>
    <n v="24"/>
    <n v="500"/>
    <n v="158"/>
    <n v="79000"/>
    <x v="0"/>
  </r>
  <r>
    <s v="P1105"/>
    <x v="2"/>
    <x v="1"/>
    <n v="91"/>
    <n v="6"/>
    <n v="8000"/>
    <n v="85"/>
    <n v="680000"/>
    <x v="0"/>
  </r>
  <r>
    <s v="P1106"/>
    <x v="6"/>
    <x v="5"/>
    <n v="165"/>
    <n v="112"/>
    <n v="2500"/>
    <n v="53"/>
    <n v="132500"/>
    <x v="0"/>
  </r>
  <r>
    <s v="P1107"/>
    <x v="3"/>
    <x v="1"/>
    <n v="32"/>
    <n v="105"/>
    <n v="500"/>
    <n v="-73"/>
    <n v="-36500"/>
    <x v="1"/>
  </r>
  <r>
    <s v="P1108"/>
    <x v="8"/>
    <x v="4"/>
    <n v="96"/>
    <n v="22"/>
    <n v="1200"/>
    <n v="74"/>
    <n v="88800"/>
    <x v="0"/>
  </r>
  <r>
    <s v="P1109"/>
    <x v="5"/>
    <x v="1"/>
    <n v="129"/>
    <n v="74"/>
    <n v="8000"/>
    <n v="55"/>
    <n v="440000"/>
    <x v="0"/>
  </r>
  <r>
    <s v="P1110"/>
    <x v="5"/>
    <x v="5"/>
    <n v="60"/>
    <n v="119"/>
    <n v="55000"/>
    <n v="-59"/>
    <n v="-3245000"/>
    <x v="1"/>
  </r>
  <r>
    <s v="P1111"/>
    <x v="3"/>
    <x v="8"/>
    <n v="54"/>
    <n v="147"/>
    <n v="5000"/>
    <n v="-93"/>
    <n v="-465000"/>
    <x v="1"/>
  </r>
  <r>
    <s v="P1112"/>
    <x v="9"/>
    <x v="5"/>
    <n v="58"/>
    <n v="75"/>
    <n v="55000"/>
    <n v="-17"/>
    <n v="-935000"/>
    <x v="1"/>
  </r>
  <r>
    <s v="P1113"/>
    <x v="8"/>
    <x v="2"/>
    <n v="95"/>
    <n v="139"/>
    <n v="12000"/>
    <n v="-44"/>
    <n v="-528000"/>
    <x v="1"/>
  </r>
  <r>
    <s v="P1114"/>
    <x v="5"/>
    <x v="0"/>
    <n v="189"/>
    <n v="22"/>
    <n v="800"/>
    <n v="167"/>
    <n v="133600"/>
    <x v="0"/>
  </r>
  <r>
    <s v="P1115"/>
    <x v="8"/>
    <x v="0"/>
    <n v="98"/>
    <n v="110"/>
    <n v="5000"/>
    <n v="-12"/>
    <n v="-60000"/>
    <x v="1"/>
  </r>
  <r>
    <s v="P1116"/>
    <x v="7"/>
    <x v="9"/>
    <n v="49"/>
    <n v="120"/>
    <n v="30000"/>
    <n v="-71"/>
    <n v="-2130000"/>
    <x v="1"/>
  </r>
  <r>
    <s v="P1117"/>
    <x v="1"/>
    <x v="6"/>
    <n v="198"/>
    <n v="72"/>
    <n v="8000"/>
    <n v="126"/>
    <n v="1008000"/>
    <x v="0"/>
  </r>
  <r>
    <s v="P1118"/>
    <x v="6"/>
    <x v="4"/>
    <n v="66"/>
    <n v="111"/>
    <n v="800"/>
    <n v="-45"/>
    <n v="-36000"/>
    <x v="1"/>
  </r>
  <r>
    <s v="P1119"/>
    <x v="3"/>
    <x v="9"/>
    <n v="163"/>
    <n v="77"/>
    <n v="1500"/>
    <n v="86"/>
    <n v="129000"/>
    <x v="0"/>
  </r>
  <r>
    <s v="P1120"/>
    <x v="5"/>
    <x v="3"/>
    <n v="65"/>
    <n v="56"/>
    <n v="12000"/>
    <n v="9"/>
    <n v="108000"/>
    <x v="1"/>
  </r>
  <r>
    <s v="P1121"/>
    <x v="0"/>
    <x v="0"/>
    <n v="129"/>
    <n v="121"/>
    <n v="8000"/>
    <n v="8"/>
    <n v="64000"/>
    <x v="1"/>
  </r>
  <r>
    <s v="P1122"/>
    <x v="2"/>
    <x v="2"/>
    <n v="194"/>
    <n v="15"/>
    <n v="1200"/>
    <n v="179"/>
    <n v="214800"/>
    <x v="0"/>
  </r>
  <r>
    <s v="P1123"/>
    <x v="5"/>
    <x v="9"/>
    <n v="186"/>
    <n v="135"/>
    <n v="500"/>
    <n v="51"/>
    <n v="25500"/>
    <x v="0"/>
  </r>
  <r>
    <s v="P1124"/>
    <x v="0"/>
    <x v="5"/>
    <n v="60"/>
    <n v="41"/>
    <n v="1200"/>
    <n v="19"/>
    <n v="22800"/>
    <x v="0"/>
  </r>
  <r>
    <s v="P1125"/>
    <x v="2"/>
    <x v="8"/>
    <n v="63"/>
    <n v="93"/>
    <n v="12000"/>
    <n v="-30"/>
    <n v="-360000"/>
    <x v="1"/>
  </r>
  <r>
    <s v="P1126"/>
    <x v="5"/>
    <x v="9"/>
    <n v="186"/>
    <n v="44"/>
    <n v="5000"/>
    <n v="142"/>
    <n v="710000"/>
    <x v="0"/>
  </r>
  <r>
    <s v="P1127"/>
    <x v="8"/>
    <x v="7"/>
    <n v="52"/>
    <n v="91"/>
    <n v="12000"/>
    <n v="-39"/>
    <n v="-468000"/>
    <x v="1"/>
  </r>
  <r>
    <s v="P1128"/>
    <x v="1"/>
    <x v="8"/>
    <n v="27"/>
    <n v="131"/>
    <n v="30000"/>
    <n v="-104"/>
    <n v="-3120000"/>
    <x v="1"/>
  </r>
  <r>
    <s v="P1129"/>
    <x v="7"/>
    <x v="3"/>
    <n v="48"/>
    <n v="25"/>
    <n v="5000"/>
    <n v="23"/>
    <n v="115000"/>
    <x v="0"/>
  </r>
  <r>
    <s v="P1130"/>
    <x v="4"/>
    <x v="0"/>
    <n v="144"/>
    <n v="147"/>
    <n v="500"/>
    <n v="-3"/>
    <n v="-1500"/>
    <x v="1"/>
  </r>
  <r>
    <s v="P1131"/>
    <x v="0"/>
    <x v="8"/>
    <n v="50"/>
    <n v="80"/>
    <n v="5000"/>
    <n v="-30"/>
    <n v="-150000"/>
    <x v="1"/>
  </r>
  <r>
    <s v="P1132"/>
    <x v="7"/>
    <x v="3"/>
    <n v="189"/>
    <n v="23"/>
    <n v="2500"/>
    <n v="166"/>
    <n v="415000"/>
    <x v="0"/>
  </r>
  <r>
    <s v="P1133"/>
    <x v="6"/>
    <x v="1"/>
    <n v="44"/>
    <n v="30"/>
    <n v="30000"/>
    <n v="14"/>
    <n v="420000"/>
    <x v="0"/>
  </r>
  <r>
    <s v="P1134"/>
    <x v="4"/>
    <x v="6"/>
    <n v="76"/>
    <n v="76"/>
    <n v="500"/>
    <n v="0"/>
    <n v="0"/>
    <x v="1"/>
  </r>
  <r>
    <s v="P1135"/>
    <x v="2"/>
    <x v="9"/>
    <n v="197"/>
    <n v="129"/>
    <n v="30000"/>
    <n v="68"/>
    <n v="2040000"/>
    <x v="0"/>
  </r>
  <r>
    <s v="P1136"/>
    <x v="7"/>
    <x v="6"/>
    <n v="153"/>
    <n v="135"/>
    <n v="500"/>
    <n v="18"/>
    <n v="9000"/>
    <x v="0"/>
  </r>
  <r>
    <s v="P1137"/>
    <x v="6"/>
    <x v="4"/>
    <n v="72"/>
    <n v="109"/>
    <n v="8000"/>
    <n v="-37"/>
    <n v="-296000"/>
    <x v="1"/>
  </r>
  <r>
    <s v="P1138"/>
    <x v="0"/>
    <x v="9"/>
    <n v="146"/>
    <n v="37"/>
    <n v="8000"/>
    <n v="109"/>
    <n v="872000"/>
    <x v="0"/>
  </r>
  <r>
    <s v="P1139"/>
    <x v="3"/>
    <x v="1"/>
    <n v="124"/>
    <n v="135"/>
    <n v="55000"/>
    <n v="-11"/>
    <n v="-605000"/>
    <x v="1"/>
  </r>
  <r>
    <s v="P1140"/>
    <x v="9"/>
    <x v="1"/>
    <n v="91"/>
    <n v="69"/>
    <n v="8000"/>
    <n v="22"/>
    <n v="176000"/>
    <x v="0"/>
  </r>
  <r>
    <s v="P1141"/>
    <x v="7"/>
    <x v="7"/>
    <n v="107"/>
    <n v="139"/>
    <n v="500"/>
    <n v="-32"/>
    <n v="-16000"/>
    <x v="1"/>
  </r>
  <r>
    <s v="P1142"/>
    <x v="9"/>
    <x v="2"/>
    <n v="140"/>
    <n v="49"/>
    <n v="500"/>
    <n v="91"/>
    <n v="45500"/>
    <x v="0"/>
  </r>
  <r>
    <s v="P1143"/>
    <x v="3"/>
    <x v="5"/>
    <n v="117"/>
    <n v="148"/>
    <n v="55000"/>
    <n v="-31"/>
    <n v="-1705000"/>
    <x v="1"/>
  </r>
  <r>
    <s v="P1144"/>
    <x v="0"/>
    <x v="0"/>
    <n v="52"/>
    <n v="43"/>
    <n v="12000"/>
    <n v="9"/>
    <n v="108000"/>
    <x v="1"/>
  </r>
  <r>
    <s v="P1145"/>
    <x v="3"/>
    <x v="9"/>
    <n v="36"/>
    <n v="126"/>
    <n v="8000"/>
    <n v="-90"/>
    <n v="-720000"/>
    <x v="1"/>
  </r>
  <r>
    <s v="P1146"/>
    <x v="5"/>
    <x v="7"/>
    <n v="101"/>
    <n v="52"/>
    <n v="30000"/>
    <n v="49"/>
    <n v="1470000"/>
    <x v="0"/>
  </r>
  <r>
    <s v="P1147"/>
    <x v="8"/>
    <x v="4"/>
    <n v="145"/>
    <n v="85"/>
    <n v="2500"/>
    <n v="60"/>
    <n v="150000"/>
    <x v="0"/>
  </r>
  <r>
    <s v="P1148"/>
    <x v="6"/>
    <x v="0"/>
    <n v="73"/>
    <n v="131"/>
    <n v="5000"/>
    <n v="-58"/>
    <n v="-290000"/>
    <x v="1"/>
  </r>
  <r>
    <s v="P1149"/>
    <x v="8"/>
    <x v="4"/>
    <n v="145"/>
    <n v="137"/>
    <n v="12000"/>
    <n v="8"/>
    <n v="96000"/>
    <x v="1"/>
  </r>
  <r>
    <s v="P1150"/>
    <x v="5"/>
    <x v="4"/>
    <n v="103"/>
    <n v="146"/>
    <n v="800"/>
    <n v="-43"/>
    <n v="-34400"/>
    <x v="1"/>
  </r>
  <r>
    <s v="P1151"/>
    <x v="6"/>
    <x v="3"/>
    <n v="165"/>
    <n v="35"/>
    <n v="30000"/>
    <n v="130"/>
    <n v="3900000"/>
    <x v="0"/>
  </r>
  <r>
    <s v="P1152"/>
    <x v="0"/>
    <x v="2"/>
    <n v="147"/>
    <n v="0"/>
    <n v="1500"/>
    <n v="147"/>
    <n v="220500"/>
    <x v="0"/>
  </r>
  <r>
    <s v="P1153"/>
    <x v="0"/>
    <x v="0"/>
    <n v="169"/>
    <n v="7"/>
    <n v="12000"/>
    <n v="162"/>
    <n v="1944000"/>
    <x v="0"/>
  </r>
  <r>
    <s v="P1154"/>
    <x v="5"/>
    <x v="8"/>
    <n v="97"/>
    <n v="13"/>
    <n v="500"/>
    <n v="84"/>
    <n v="42000"/>
    <x v="0"/>
  </r>
  <r>
    <s v="P1155"/>
    <x v="5"/>
    <x v="1"/>
    <n v="24"/>
    <n v="33"/>
    <n v="5000"/>
    <n v="-9"/>
    <n v="-45000"/>
    <x v="1"/>
  </r>
  <r>
    <s v="P1156"/>
    <x v="0"/>
    <x v="6"/>
    <n v="100"/>
    <n v="134"/>
    <n v="8000"/>
    <n v="-34"/>
    <n v="-272000"/>
    <x v="1"/>
  </r>
  <r>
    <s v="P1157"/>
    <x v="0"/>
    <x v="6"/>
    <n v="107"/>
    <n v="18"/>
    <n v="12000"/>
    <n v="89"/>
    <n v="1068000"/>
    <x v="0"/>
  </r>
  <r>
    <s v="P1158"/>
    <x v="6"/>
    <x v="0"/>
    <n v="26"/>
    <n v="12"/>
    <n v="8000"/>
    <n v="14"/>
    <n v="112000"/>
    <x v="0"/>
  </r>
  <r>
    <s v="P1159"/>
    <x v="1"/>
    <x v="2"/>
    <n v="27"/>
    <n v="4"/>
    <n v="800"/>
    <n v="23"/>
    <n v="18400"/>
    <x v="0"/>
  </r>
  <r>
    <s v="P1160"/>
    <x v="6"/>
    <x v="2"/>
    <n v="22"/>
    <n v="77"/>
    <n v="30000"/>
    <n v="-55"/>
    <n v="-1650000"/>
    <x v="1"/>
  </r>
  <r>
    <s v="P1161"/>
    <x v="8"/>
    <x v="7"/>
    <n v="177"/>
    <n v="18"/>
    <n v="30000"/>
    <n v="159"/>
    <n v="4770000"/>
    <x v="0"/>
  </r>
  <r>
    <s v="P1162"/>
    <x v="6"/>
    <x v="3"/>
    <n v="182"/>
    <n v="14"/>
    <n v="5000"/>
    <n v="168"/>
    <n v="840000"/>
    <x v="0"/>
  </r>
  <r>
    <s v="P1163"/>
    <x v="8"/>
    <x v="5"/>
    <n v="78"/>
    <n v="101"/>
    <n v="2500"/>
    <n v="-23"/>
    <n v="-57500"/>
    <x v="1"/>
  </r>
  <r>
    <s v="P1164"/>
    <x v="9"/>
    <x v="3"/>
    <n v="52"/>
    <n v="115"/>
    <n v="2500"/>
    <n v="-63"/>
    <n v="-157500"/>
    <x v="1"/>
  </r>
  <r>
    <s v="P1165"/>
    <x v="6"/>
    <x v="9"/>
    <n v="170"/>
    <n v="115"/>
    <n v="1200"/>
    <n v="55"/>
    <n v="66000"/>
    <x v="0"/>
  </r>
  <r>
    <s v="P1166"/>
    <x v="7"/>
    <x v="9"/>
    <n v="108"/>
    <n v="95"/>
    <n v="800"/>
    <n v="13"/>
    <n v="10400"/>
    <x v="0"/>
  </r>
  <r>
    <s v="P1167"/>
    <x v="6"/>
    <x v="6"/>
    <n v="126"/>
    <n v="37"/>
    <n v="55000"/>
    <n v="89"/>
    <n v="4895000"/>
    <x v="0"/>
  </r>
  <r>
    <s v="P1168"/>
    <x v="6"/>
    <x v="7"/>
    <n v="75"/>
    <n v="150"/>
    <n v="500"/>
    <n v="-75"/>
    <n v="-37500"/>
    <x v="1"/>
  </r>
  <r>
    <s v="P1169"/>
    <x v="6"/>
    <x v="9"/>
    <n v="180"/>
    <n v="149"/>
    <n v="2500"/>
    <n v="31"/>
    <n v="77500"/>
    <x v="0"/>
  </r>
  <r>
    <s v="P1170"/>
    <x v="9"/>
    <x v="7"/>
    <n v="194"/>
    <n v="124"/>
    <n v="8000"/>
    <n v="70"/>
    <n v="560000"/>
    <x v="0"/>
  </r>
  <r>
    <s v="P1171"/>
    <x v="6"/>
    <x v="9"/>
    <n v="196"/>
    <n v="28"/>
    <n v="55000"/>
    <n v="168"/>
    <n v="9240000"/>
    <x v="0"/>
  </r>
  <r>
    <s v="P1172"/>
    <x v="4"/>
    <x v="7"/>
    <n v="135"/>
    <n v="89"/>
    <n v="8000"/>
    <n v="46"/>
    <n v="368000"/>
    <x v="0"/>
  </r>
  <r>
    <s v="P1173"/>
    <x v="0"/>
    <x v="2"/>
    <n v="155"/>
    <n v="141"/>
    <n v="12000"/>
    <n v="14"/>
    <n v="168000"/>
    <x v="0"/>
  </r>
  <r>
    <s v="P1174"/>
    <x v="1"/>
    <x v="7"/>
    <n v="162"/>
    <n v="148"/>
    <n v="5000"/>
    <n v="14"/>
    <n v="70000"/>
    <x v="0"/>
  </r>
  <r>
    <s v="P1175"/>
    <x v="3"/>
    <x v="5"/>
    <n v="89"/>
    <n v="96"/>
    <n v="55000"/>
    <n v="-7"/>
    <n v="-385000"/>
    <x v="1"/>
  </r>
  <r>
    <s v="P1176"/>
    <x v="0"/>
    <x v="4"/>
    <n v="196"/>
    <n v="135"/>
    <n v="1500"/>
    <n v="61"/>
    <n v="91500"/>
    <x v="0"/>
  </r>
  <r>
    <s v="P1177"/>
    <x v="0"/>
    <x v="7"/>
    <n v="48"/>
    <n v="124"/>
    <n v="800"/>
    <n v="-76"/>
    <n v="-60800"/>
    <x v="1"/>
  </r>
  <r>
    <s v="P1178"/>
    <x v="9"/>
    <x v="1"/>
    <n v="133"/>
    <n v="97"/>
    <n v="30000"/>
    <n v="36"/>
    <n v="1080000"/>
    <x v="0"/>
  </r>
  <r>
    <s v="P1179"/>
    <x v="9"/>
    <x v="4"/>
    <n v="112"/>
    <n v="23"/>
    <n v="30000"/>
    <n v="89"/>
    <n v="2670000"/>
    <x v="0"/>
  </r>
  <r>
    <s v="P1180"/>
    <x v="1"/>
    <x v="7"/>
    <n v="193"/>
    <n v="133"/>
    <n v="500"/>
    <n v="60"/>
    <n v="30000"/>
    <x v="0"/>
  </r>
  <r>
    <s v="P1181"/>
    <x v="0"/>
    <x v="0"/>
    <n v="89"/>
    <n v="90"/>
    <n v="30000"/>
    <n v="-1"/>
    <n v="-30000"/>
    <x v="1"/>
  </r>
  <r>
    <s v="P1182"/>
    <x v="3"/>
    <x v="5"/>
    <n v="121"/>
    <n v="140"/>
    <n v="2500"/>
    <n v="-19"/>
    <n v="-47500"/>
    <x v="1"/>
  </r>
  <r>
    <s v="P1183"/>
    <x v="1"/>
    <x v="6"/>
    <n v="142"/>
    <n v="31"/>
    <n v="1500"/>
    <n v="111"/>
    <n v="166500"/>
    <x v="0"/>
  </r>
  <r>
    <s v="P1184"/>
    <x v="2"/>
    <x v="6"/>
    <n v="129"/>
    <n v="80"/>
    <n v="500"/>
    <n v="49"/>
    <n v="24500"/>
    <x v="0"/>
  </r>
  <r>
    <s v="P1185"/>
    <x v="1"/>
    <x v="0"/>
    <n v="70"/>
    <n v="13"/>
    <n v="1200"/>
    <n v="57"/>
    <n v="68400"/>
    <x v="0"/>
  </r>
  <r>
    <s v="P1186"/>
    <x v="3"/>
    <x v="9"/>
    <n v="184"/>
    <n v="144"/>
    <n v="800"/>
    <n v="40"/>
    <n v="32000"/>
    <x v="0"/>
  </r>
  <r>
    <s v="P1187"/>
    <x v="6"/>
    <x v="0"/>
    <n v="174"/>
    <n v="88"/>
    <n v="2500"/>
    <n v="86"/>
    <n v="215000"/>
    <x v="0"/>
  </r>
  <r>
    <s v="P1188"/>
    <x v="7"/>
    <x v="4"/>
    <n v="48"/>
    <n v="63"/>
    <n v="500"/>
    <n v="-15"/>
    <n v="-7500"/>
    <x v="1"/>
  </r>
  <r>
    <s v="P1189"/>
    <x v="5"/>
    <x v="5"/>
    <n v="76"/>
    <n v="150"/>
    <n v="800"/>
    <n v="-74"/>
    <n v="-59200"/>
    <x v="1"/>
  </r>
  <r>
    <s v="P1190"/>
    <x v="1"/>
    <x v="5"/>
    <n v="61"/>
    <n v="49"/>
    <n v="30000"/>
    <n v="12"/>
    <n v="360000"/>
    <x v="0"/>
  </r>
  <r>
    <s v="P1191"/>
    <x v="7"/>
    <x v="4"/>
    <n v="170"/>
    <n v="130"/>
    <n v="1200"/>
    <n v="40"/>
    <n v="48000"/>
    <x v="0"/>
  </r>
  <r>
    <s v="P1192"/>
    <x v="6"/>
    <x v="7"/>
    <n v="36"/>
    <n v="90"/>
    <n v="8000"/>
    <n v="-54"/>
    <n v="-432000"/>
    <x v="1"/>
  </r>
  <r>
    <s v="P1193"/>
    <x v="8"/>
    <x v="2"/>
    <n v="62"/>
    <n v="25"/>
    <n v="5000"/>
    <n v="37"/>
    <n v="185000"/>
    <x v="0"/>
  </r>
  <r>
    <s v="P1194"/>
    <x v="3"/>
    <x v="5"/>
    <n v="70"/>
    <n v="40"/>
    <n v="500"/>
    <n v="30"/>
    <n v="15000"/>
    <x v="0"/>
  </r>
  <r>
    <s v="P1195"/>
    <x v="5"/>
    <x v="0"/>
    <n v="82"/>
    <n v="35"/>
    <n v="1200"/>
    <n v="47"/>
    <n v="56400"/>
    <x v="0"/>
  </r>
  <r>
    <s v="P1196"/>
    <x v="0"/>
    <x v="1"/>
    <n v="164"/>
    <n v="28"/>
    <n v="30000"/>
    <n v="136"/>
    <n v="4080000"/>
    <x v="0"/>
  </r>
  <r>
    <s v="P1197"/>
    <x v="3"/>
    <x v="6"/>
    <n v="193"/>
    <n v="111"/>
    <n v="5000"/>
    <n v="82"/>
    <n v="410000"/>
    <x v="0"/>
  </r>
  <r>
    <s v="P1198"/>
    <x v="0"/>
    <x v="8"/>
    <n v="62"/>
    <n v="5"/>
    <n v="1200"/>
    <n v="57"/>
    <n v="68400"/>
    <x v="0"/>
  </r>
  <r>
    <s v="P1199"/>
    <x v="7"/>
    <x v="6"/>
    <n v="123"/>
    <n v="79"/>
    <n v="2500"/>
    <n v="44"/>
    <n v="110000"/>
    <x v="0"/>
  </r>
  <r>
    <s v="P1200"/>
    <x v="8"/>
    <x v="6"/>
    <n v="160"/>
    <n v="84"/>
    <n v="800"/>
    <n v="76"/>
    <n v="60800"/>
    <x v="0"/>
  </r>
  <r>
    <s v="P1201"/>
    <x v="9"/>
    <x v="9"/>
    <n v="161"/>
    <n v="139"/>
    <n v="5000"/>
    <n v="22"/>
    <n v="110000"/>
    <x v="0"/>
  </r>
  <r>
    <s v="P1202"/>
    <x v="4"/>
    <x v="9"/>
    <n v="86"/>
    <n v="114"/>
    <n v="800"/>
    <n v="-28"/>
    <n v="-22400"/>
    <x v="1"/>
  </r>
  <r>
    <s v="P1203"/>
    <x v="1"/>
    <x v="9"/>
    <n v="161"/>
    <n v="65"/>
    <n v="30000"/>
    <n v="96"/>
    <n v="2880000"/>
    <x v="0"/>
  </r>
  <r>
    <s v="P1204"/>
    <x v="6"/>
    <x v="3"/>
    <n v="193"/>
    <n v="20"/>
    <n v="12000"/>
    <n v="173"/>
    <n v="2076000"/>
    <x v="0"/>
  </r>
  <r>
    <s v="P1205"/>
    <x v="0"/>
    <x v="1"/>
    <n v="136"/>
    <n v="31"/>
    <n v="2500"/>
    <n v="105"/>
    <n v="262500"/>
    <x v="0"/>
  </r>
  <r>
    <s v="P1206"/>
    <x v="7"/>
    <x v="8"/>
    <n v="174"/>
    <n v="148"/>
    <n v="500"/>
    <n v="26"/>
    <n v="13000"/>
    <x v="0"/>
  </r>
  <r>
    <s v="P1207"/>
    <x v="4"/>
    <x v="7"/>
    <n v="115"/>
    <n v="28"/>
    <n v="8000"/>
    <n v="87"/>
    <n v="696000"/>
    <x v="0"/>
  </r>
  <r>
    <s v="P1208"/>
    <x v="0"/>
    <x v="2"/>
    <n v="173"/>
    <n v="27"/>
    <n v="30000"/>
    <n v="146"/>
    <n v="4380000"/>
    <x v="0"/>
  </r>
  <r>
    <s v="P1209"/>
    <x v="0"/>
    <x v="6"/>
    <n v="158"/>
    <n v="63"/>
    <n v="2500"/>
    <n v="95"/>
    <n v="237500"/>
    <x v="0"/>
  </r>
  <r>
    <s v="P1210"/>
    <x v="3"/>
    <x v="3"/>
    <n v="172"/>
    <n v="48"/>
    <n v="30000"/>
    <n v="124"/>
    <n v="3720000"/>
    <x v="0"/>
  </r>
  <r>
    <s v="P1211"/>
    <x v="1"/>
    <x v="0"/>
    <n v="26"/>
    <n v="29"/>
    <n v="500"/>
    <n v="-3"/>
    <n v="-1500"/>
    <x v="1"/>
  </r>
  <r>
    <s v="P1212"/>
    <x v="4"/>
    <x v="7"/>
    <n v="199"/>
    <n v="35"/>
    <n v="2500"/>
    <n v="164"/>
    <n v="410000"/>
    <x v="0"/>
  </r>
  <r>
    <s v="P1213"/>
    <x v="9"/>
    <x v="8"/>
    <n v="41"/>
    <n v="59"/>
    <n v="2500"/>
    <n v="-18"/>
    <n v="-45000"/>
    <x v="1"/>
  </r>
  <r>
    <s v="P1214"/>
    <x v="0"/>
    <x v="4"/>
    <n v="139"/>
    <n v="58"/>
    <n v="2500"/>
    <n v="81"/>
    <n v="202500"/>
    <x v="0"/>
  </r>
  <r>
    <s v="P1215"/>
    <x v="3"/>
    <x v="5"/>
    <n v="62"/>
    <n v="114"/>
    <n v="8000"/>
    <n v="-52"/>
    <n v="-416000"/>
    <x v="1"/>
  </r>
  <r>
    <s v="P1216"/>
    <x v="0"/>
    <x v="4"/>
    <n v="55"/>
    <n v="97"/>
    <n v="55000"/>
    <n v="-42"/>
    <n v="-2310000"/>
    <x v="1"/>
  </r>
  <r>
    <s v="P1217"/>
    <x v="5"/>
    <x v="6"/>
    <n v="160"/>
    <n v="129"/>
    <n v="1200"/>
    <n v="31"/>
    <n v="37200"/>
    <x v="0"/>
  </r>
  <r>
    <s v="P1218"/>
    <x v="2"/>
    <x v="4"/>
    <n v="42"/>
    <n v="140"/>
    <n v="30000"/>
    <n v="-98"/>
    <n v="-2940000"/>
    <x v="1"/>
  </r>
  <r>
    <s v="P1219"/>
    <x v="7"/>
    <x v="2"/>
    <n v="155"/>
    <n v="108"/>
    <n v="800"/>
    <n v="47"/>
    <n v="37600"/>
    <x v="0"/>
  </r>
  <r>
    <s v="P1220"/>
    <x v="5"/>
    <x v="9"/>
    <n v="34"/>
    <n v="10"/>
    <n v="800"/>
    <n v="24"/>
    <n v="19200"/>
    <x v="0"/>
  </r>
  <r>
    <s v="P1221"/>
    <x v="4"/>
    <x v="1"/>
    <n v="73"/>
    <n v="62"/>
    <n v="1200"/>
    <n v="11"/>
    <n v="13200"/>
    <x v="0"/>
  </r>
  <r>
    <s v="P1222"/>
    <x v="5"/>
    <x v="1"/>
    <n v="53"/>
    <n v="20"/>
    <n v="800"/>
    <n v="33"/>
    <n v="26400"/>
    <x v="0"/>
  </r>
  <r>
    <s v="P1223"/>
    <x v="8"/>
    <x v="0"/>
    <n v="127"/>
    <n v="70"/>
    <n v="2500"/>
    <n v="57"/>
    <n v="142500"/>
    <x v="0"/>
  </r>
  <r>
    <s v="P1224"/>
    <x v="7"/>
    <x v="7"/>
    <n v="174"/>
    <n v="112"/>
    <n v="1500"/>
    <n v="62"/>
    <n v="93000"/>
    <x v="0"/>
  </r>
  <r>
    <s v="P1225"/>
    <x v="9"/>
    <x v="6"/>
    <n v="96"/>
    <n v="22"/>
    <n v="55000"/>
    <n v="74"/>
    <n v="4070000"/>
    <x v="0"/>
  </r>
  <r>
    <s v="P1226"/>
    <x v="8"/>
    <x v="1"/>
    <n v="49"/>
    <n v="2"/>
    <n v="12000"/>
    <n v="47"/>
    <n v="564000"/>
    <x v="0"/>
  </r>
  <r>
    <s v="P1227"/>
    <x v="9"/>
    <x v="1"/>
    <n v="169"/>
    <n v="59"/>
    <n v="55000"/>
    <n v="110"/>
    <n v="6050000"/>
    <x v="0"/>
  </r>
  <r>
    <s v="P1228"/>
    <x v="5"/>
    <x v="8"/>
    <n v="40"/>
    <n v="149"/>
    <n v="8000"/>
    <n v="-109"/>
    <n v="-872000"/>
    <x v="1"/>
  </r>
  <r>
    <s v="P1229"/>
    <x v="7"/>
    <x v="8"/>
    <n v="129"/>
    <n v="89"/>
    <n v="30000"/>
    <n v="40"/>
    <n v="1200000"/>
    <x v="0"/>
  </r>
  <r>
    <s v="P1230"/>
    <x v="1"/>
    <x v="6"/>
    <n v="140"/>
    <n v="92"/>
    <n v="1500"/>
    <n v="48"/>
    <n v="72000"/>
    <x v="0"/>
  </r>
  <r>
    <s v="P1231"/>
    <x v="4"/>
    <x v="2"/>
    <n v="195"/>
    <n v="59"/>
    <n v="500"/>
    <n v="136"/>
    <n v="68000"/>
    <x v="0"/>
  </r>
  <r>
    <s v="P1232"/>
    <x v="3"/>
    <x v="8"/>
    <n v="140"/>
    <n v="109"/>
    <n v="1500"/>
    <n v="31"/>
    <n v="46500"/>
    <x v="0"/>
  </r>
  <r>
    <s v="P1233"/>
    <x v="9"/>
    <x v="0"/>
    <n v="133"/>
    <n v="115"/>
    <n v="800"/>
    <n v="18"/>
    <n v="14400"/>
    <x v="0"/>
  </r>
  <r>
    <s v="P1234"/>
    <x v="5"/>
    <x v="5"/>
    <n v="196"/>
    <n v="81"/>
    <n v="1500"/>
    <n v="115"/>
    <n v="172500"/>
    <x v="0"/>
  </r>
  <r>
    <s v="P1235"/>
    <x v="5"/>
    <x v="8"/>
    <n v="39"/>
    <n v="89"/>
    <n v="800"/>
    <n v="-50"/>
    <n v="-40000"/>
    <x v="1"/>
  </r>
  <r>
    <s v="P1236"/>
    <x v="0"/>
    <x v="7"/>
    <n v="22"/>
    <n v="19"/>
    <n v="55000"/>
    <n v="3"/>
    <n v="165000"/>
    <x v="1"/>
  </r>
  <r>
    <s v="P1237"/>
    <x v="6"/>
    <x v="4"/>
    <n v="153"/>
    <n v="53"/>
    <n v="12000"/>
    <n v="100"/>
    <n v="1200000"/>
    <x v="0"/>
  </r>
  <r>
    <s v="P1238"/>
    <x v="2"/>
    <x v="9"/>
    <n v="44"/>
    <n v="18"/>
    <n v="12000"/>
    <n v="26"/>
    <n v="312000"/>
    <x v="0"/>
  </r>
  <r>
    <s v="P1239"/>
    <x v="2"/>
    <x v="0"/>
    <n v="177"/>
    <n v="116"/>
    <n v="30000"/>
    <n v="61"/>
    <n v="1830000"/>
    <x v="0"/>
  </r>
  <r>
    <s v="P1240"/>
    <x v="2"/>
    <x v="9"/>
    <n v="173"/>
    <n v="45"/>
    <n v="800"/>
    <n v="128"/>
    <n v="102400"/>
    <x v="0"/>
  </r>
  <r>
    <s v="P1241"/>
    <x v="0"/>
    <x v="4"/>
    <n v="161"/>
    <n v="31"/>
    <n v="8000"/>
    <n v="130"/>
    <n v="1040000"/>
    <x v="0"/>
  </r>
  <r>
    <s v="P1242"/>
    <x v="5"/>
    <x v="9"/>
    <n v="50"/>
    <n v="139"/>
    <n v="500"/>
    <n v="-89"/>
    <n v="-44500"/>
    <x v="1"/>
  </r>
  <r>
    <s v="P1243"/>
    <x v="2"/>
    <x v="2"/>
    <n v="166"/>
    <n v="39"/>
    <n v="800"/>
    <n v="127"/>
    <n v="101600"/>
    <x v="0"/>
  </r>
  <r>
    <s v="P1244"/>
    <x v="7"/>
    <x v="3"/>
    <n v="131"/>
    <n v="143"/>
    <n v="30000"/>
    <n v="-12"/>
    <n v="-360000"/>
    <x v="1"/>
  </r>
  <r>
    <s v="P1245"/>
    <x v="0"/>
    <x v="0"/>
    <n v="152"/>
    <n v="46"/>
    <n v="5000"/>
    <n v="106"/>
    <n v="530000"/>
    <x v="0"/>
  </r>
  <r>
    <s v="P1246"/>
    <x v="3"/>
    <x v="7"/>
    <n v="132"/>
    <n v="123"/>
    <n v="30000"/>
    <n v="9"/>
    <n v="270000"/>
    <x v="1"/>
  </r>
  <r>
    <s v="P1247"/>
    <x v="3"/>
    <x v="7"/>
    <n v="107"/>
    <n v="80"/>
    <n v="500"/>
    <n v="27"/>
    <n v="13500"/>
    <x v="0"/>
  </r>
  <r>
    <s v="P1248"/>
    <x v="0"/>
    <x v="6"/>
    <n v="175"/>
    <n v="15"/>
    <n v="800"/>
    <n v="160"/>
    <n v="128000"/>
    <x v="0"/>
  </r>
  <r>
    <s v="P1249"/>
    <x v="1"/>
    <x v="9"/>
    <n v="36"/>
    <n v="2"/>
    <n v="12000"/>
    <n v="34"/>
    <n v="408000"/>
    <x v="0"/>
  </r>
  <r>
    <s v="P1250"/>
    <x v="1"/>
    <x v="7"/>
    <n v="156"/>
    <n v="66"/>
    <n v="500"/>
    <n v="90"/>
    <n v="45000"/>
    <x v="0"/>
  </r>
  <r>
    <s v="P1251"/>
    <x v="9"/>
    <x v="6"/>
    <n v="38"/>
    <n v="15"/>
    <n v="30000"/>
    <n v="23"/>
    <n v="690000"/>
    <x v="0"/>
  </r>
  <r>
    <s v="P1252"/>
    <x v="6"/>
    <x v="4"/>
    <n v="74"/>
    <n v="60"/>
    <n v="12000"/>
    <n v="14"/>
    <n v="168000"/>
    <x v="0"/>
  </r>
  <r>
    <s v="P1253"/>
    <x v="2"/>
    <x v="3"/>
    <n v="91"/>
    <n v="131"/>
    <n v="30000"/>
    <n v="-40"/>
    <n v="-1200000"/>
    <x v="1"/>
  </r>
  <r>
    <s v="P1254"/>
    <x v="1"/>
    <x v="2"/>
    <n v="125"/>
    <n v="15"/>
    <n v="1500"/>
    <n v="110"/>
    <n v="165000"/>
    <x v="0"/>
  </r>
  <r>
    <s v="P1255"/>
    <x v="9"/>
    <x v="7"/>
    <n v="88"/>
    <n v="131"/>
    <n v="1500"/>
    <n v="-43"/>
    <n v="-64500"/>
    <x v="1"/>
  </r>
  <r>
    <s v="P1256"/>
    <x v="4"/>
    <x v="2"/>
    <n v="45"/>
    <n v="55"/>
    <n v="1500"/>
    <n v="-10"/>
    <n v="-15000"/>
    <x v="1"/>
  </r>
  <r>
    <s v="P1257"/>
    <x v="6"/>
    <x v="0"/>
    <n v="163"/>
    <n v="135"/>
    <n v="30000"/>
    <n v="28"/>
    <n v="840000"/>
    <x v="0"/>
  </r>
  <r>
    <s v="P1258"/>
    <x v="9"/>
    <x v="8"/>
    <n v="30"/>
    <n v="49"/>
    <n v="1200"/>
    <n v="-19"/>
    <n v="-22800"/>
    <x v="1"/>
  </r>
  <r>
    <s v="P1259"/>
    <x v="1"/>
    <x v="7"/>
    <n v="41"/>
    <n v="83"/>
    <n v="1500"/>
    <n v="-42"/>
    <n v="-63000"/>
    <x v="1"/>
  </r>
  <r>
    <s v="P1260"/>
    <x v="6"/>
    <x v="8"/>
    <n v="42"/>
    <n v="0"/>
    <n v="500"/>
    <n v="42"/>
    <n v="21000"/>
    <x v="0"/>
  </r>
  <r>
    <s v="P1261"/>
    <x v="0"/>
    <x v="6"/>
    <n v="194"/>
    <n v="6"/>
    <n v="30000"/>
    <n v="188"/>
    <n v="5640000"/>
    <x v="0"/>
  </r>
  <r>
    <s v="P1262"/>
    <x v="5"/>
    <x v="7"/>
    <n v="36"/>
    <n v="114"/>
    <n v="5000"/>
    <n v="-78"/>
    <n v="-390000"/>
    <x v="1"/>
  </r>
  <r>
    <s v="P1263"/>
    <x v="8"/>
    <x v="3"/>
    <n v="154"/>
    <n v="145"/>
    <n v="1500"/>
    <n v="9"/>
    <n v="13500"/>
    <x v="1"/>
  </r>
  <r>
    <s v="P1264"/>
    <x v="6"/>
    <x v="4"/>
    <n v="38"/>
    <n v="9"/>
    <n v="2500"/>
    <n v="29"/>
    <n v="72500"/>
    <x v="0"/>
  </r>
  <r>
    <s v="P1265"/>
    <x v="9"/>
    <x v="2"/>
    <n v="62"/>
    <n v="75"/>
    <n v="800"/>
    <n v="-13"/>
    <n v="-10400"/>
    <x v="1"/>
  </r>
  <r>
    <s v="P1266"/>
    <x v="1"/>
    <x v="6"/>
    <n v="104"/>
    <n v="125"/>
    <n v="500"/>
    <n v="-21"/>
    <n v="-10500"/>
    <x v="1"/>
  </r>
  <r>
    <s v="P1267"/>
    <x v="5"/>
    <x v="5"/>
    <n v="75"/>
    <n v="111"/>
    <n v="2500"/>
    <n v="-36"/>
    <n v="-90000"/>
    <x v="1"/>
  </r>
  <r>
    <s v="P1268"/>
    <x v="7"/>
    <x v="9"/>
    <n v="26"/>
    <n v="45"/>
    <n v="800"/>
    <n v="-19"/>
    <n v="-15200"/>
    <x v="1"/>
  </r>
  <r>
    <s v="P1269"/>
    <x v="7"/>
    <x v="9"/>
    <n v="50"/>
    <n v="82"/>
    <n v="500"/>
    <n v="-32"/>
    <n v="-16000"/>
    <x v="1"/>
  </r>
  <r>
    <s v="P1270"/>
    <x v="1"/>
    <x v="1"/>
    <n v="181"/>
    <n v="60"/>
    <n v="2500"/>
    <n v="121"/>
    <n v="302500"/>
    <x v="0"/>
  </r>
  <r>
    <s v="P1271"/>
    <x v="2"/>
    <x v="1"/>
    <n v="62"/>
    <n v="44"/>
    <n v="8000"/>
    <n v="18"/>
    <n v="144000"/>
    <x v="0"/>
  </r>
  <r>
    <s v="P1272"/>
    <x v="5"/>
    <x v="0"/>
    <n v="119"/>
    <n v="33"/>
    <n v="5000"/>
    <n v="86"/>
    <n v="430000"/>
    <x v="0"/>
  </r>
  <r>
    <s v="P1273"/>
    <x v="3"/>
    <x v="8"/>
    <n v="188"/>
    <n v="79"/>
    <n v="500"/>
    <n v="109"/>
    <n v="54500"/>
    <x v="0"/>
  </r>
  <r>
    <s v="P1274"/>
    <x v="9"/>
    <x v="9"/>
    <n v="71"/>
    <n v="1"/>
    <n v="30000"/>
    <n v="70"/>
    <n v="2100000"/>
    <x v="0"/>
  </r>
  <r>
    <s v="P1275"/>
    <x v="9"/>
    <x v="3"/>
    <n v="161"/>
    <n v="80"/>
    <n v="1500"/>
    <n v="81"/>
    <n v="121500"/>
    <x v="0"/>
  </r>
  <r>
    <s v="P1276"/>
    <x v="4"/>
    <x v="1"/>
    <n v="43"/>
    <n v="141"/>
    <n v="800"/>
    <n v="-98"/>
    <n v="-78400"/>
    <x v="1"/>
  </r>
  <r>
    <s v="P1277"/>
    <x v="5"/>
    <x v="6"/>
    <n v="24"/>
    <n v="107"/>
    <n v="12000"/>
    <n v="-83"/>
    <n v="-996000"/>
    <x v="1"/>
  </r>
  <r>
    <s v="P1278"/>
    <x v="3"/>
    <x v="6"/>
    <n v="197"/>
    <n v="12"/>
    <n v="1500"/>
    <n v="185"/>
    <n v="277500"/>
    <x v="0"/>
  </r>
  <r>
    <s v="P1279"/>
    <x v="2"/>
    <x v="0"/>
    <n v="197"/>
    <n v="16"/>
    <n v="800"/>
    <n v="181"/>
    <n v="144800"/>
    <x v="0"/>
  </r>
  <r>
    <s v="P1280"/>
    <x v="3"/>
    <x v="8"/>
    <n v="147"/>
    <n v="75"/>
    <n v="8000"/>
    <n v="72"/>
    <n v="576000"/>
    <x v="0"/>
  </r>
  <r>
    <s v="P1281"/>
    <x v="8"/>
    <x v="7"/>
    <n v="47"/>
    <n v="141"/>
    <n v="1200"/>
    <n v="-94"/>
    <n v="-112800"/>
    <x v="1"/>
  </r>
  <r>
    <s v="P1282"/>
    <x v="4"/>
    <x v="3"/>
    <n v="175"/>
    <n v="61"/>
    <n v="5000"/>
    <n v="114"/>
    <n v="570000"/>
    <x v="0"/>
  </r>
  <r>
    <s v="P1283"/>
    <x v="7"/>
    <x v="0"/>
    <n v="187"/>
    <n v="90"/>
    <n v="800"/>
    <n v="97"/>
    <n v="77600"/>
    <x v="0"/>
  </r>
  <r>
    <s v="P1284"/>
    <x v="5"/>
    <x v="3"/>
    <n v="130"/>
    <n v="107"/>
    <n v="500"/>
    <n v="23"/>
    <n v="11500"/>
    <x v="0"/>
  </r>
  <r>
    <s v="P1285"/>
    <x v="3"/>
    <x v="7"/>
    <n v="123"/>
    <n v="142"/>
    <n v="1500"/>
    <n v="-19"/>
    <n v="-28500"/>
    <x v="1"/>
  </r>
  <r>
    <s v="P1286"/>
    <x v="2"/>
    <x v="1"/>
    <n v="183"/>
    <n v="130"/>
    <n v="55000"/>
    <n v="53"/>
    <n v="2915000"/>
    <x v="0"/>
  </r>
  <r>
    <s v="P1287"/>
    <x v="6"/>
    <x v="3"/>
    <n v="144"/>
    <n v="147"/>
    <n v="30000"/>
    <n v="-3"/>
    <n v="-90000"/>
    <x v="1"/>
  </r>
  <r>
    <s v="P1288"/>
    <x v="6"/>
    <x v="1"/>
    <n v="89"/>
    <n v="37"/>
    <n v="1200"/>
    <n v="52"/>
    <n v="62400"/>
    <x v="0"/>
  </r>
  <r>
    <s v="P1289"/>
    <x v="7"/>
    <x v="7"/>
    <n v="169"/>
    <n v="57"/>
    <n v="12000"/>
    <n v="112"/>
    <n v="1344000"/>
    <x v="0"/>
  </r>
  <r>
    <s v="P1290"/>
    <x v="4"/>
    <x v="8"/>
    <n v="94"/>
    <n v="42"/>
    <n v="8000"/>
    <n v="52"/>
    <n v="416000"/>
    <x v="0"/>
  </r>
  <r>
    <s v="P1291"/>
    <x v="7"/>
    <x v="9"/>
    <n v="108"/>
    <n v="146"/>
    <n v="2500"/>
    <n v="-38"/>
    <n v="-95000"/>
    <x v="1"/>
  </r>
  <r>
    <s v="P1292"/>
    <x v="4"/>
    <x v="6"/>
    <n v="118"/>
    <n v="58"/>
    <n v="12000"/>
    <n v="60"/>
    <n v="720000"/>
    <x v="0"/>
  </r>
  <r>
    <s v="P1293"/>
    <x v="0"/>
    <x v="3"/>
    <n v="26"/>
    <n v="27"/>
    <n v="1500"/>
    <n v="-1"/>
    <n v="-1500"/>
    <x v="1"/>
  </r>
  <r>
    <s v="P1294"/>
    <x v="4"/>
    <x v="0"/>
    <n v="160"/>
    <n v="49"/>
    <n v="55000"/>
    <n v="111"/>
    <n v="6105000"/>
    <x v="0"/>
  </r>
  <r>
    <s v="P1295"/>
    <x v="6"/>
    <x v="3"/>
    <n v="48"/>
    <n v="107"/>
    <n v="55000"/>
    <n v="-59"/>
    <n v="-3245000"/>
    <x v="1"/>
  </r>
  <r>
    <s v="P1296"/>
    <x v="6"/>
    <x v="2"/>
    <n v="49"/>
    <n v="119"/>
    <n v="55000"/>
    <n v="-70"/>
    <n v="-3850000"/>
    <x v="1"/>
  </r>
  <r>
    <s v="P1297"/>
    <x v="4"/>
    <x v="8"/>
    <n v="29"/>
    <n v="97"/>
    <n v="500"/>
    <n v="-68"/>
    <n v="-34000"/>
    <x v="1"/>
  </r>
  <r>
    <s v="P1298"/>
    <x v="5"/>
    <x v="3"/>
    <n v="53"/>
    <n v="59"/>
    <n v="30000"/>
    <n v="-6"/>
    <n v="-180000"/>
    <x v="1"/>
  </r>
  <r>
    <s v="P1299"/>
    <x v="3"/>
    <x v="8"/>
    <n v="69"/>
    <n v="108"/>
    <n v="55000"/>
    <n v="-39"/>
    <n v="-2145000"/>
    <x v="1"/>
  </r>
  <r>
    <s v="P1300"/>
    <x v="1"/>
    <x v="0"/>
    <n v="101"/>
    <n v="101"/>
    <n v="2500"/>
    <n v="0"/>
    <n v="0"/>
    <x v="1"/>
  </r>
  <r>
    <s v="P1301"/>
    <x v="5"/>
    <x v="3"/>
    <n v="111"/>
    <n v="147"/>
    <n v="5000"/>
    <n v="-36"/>
    <n v="-180000"/>
    <x v="1"/>
  </r>
  <r>
    <s v="P1302"/>
    <x v="0"/>
    <x v="1"/>
    <n v="65"/>
    <n v="91"/>
    <n v="8000"/>
    <n v="-26"/>
    <n v="-208000"/>
    <x v="1"/>
  </r>
  <r>
    <s v="P1303"/>
    <x v="3"/>
    <x v="3"/>
    <n v="94"/>
    <n v="147"/>
    <n v="1500"/>
    <n v="-53"/>
    <n v="-79500"/>
    <x v="1"/>
  </r>
  <r>
    <s v="P1304"/>
    <x v="2"/>
    <x v="2"/>
    <n v="62"/>
    <n v="141"/>
    <n v="1200"/>
    <n v="-79"/>
    <n v="-94800"/>
    <x v="1"/>
  </r>
  <r>
    <s v="P1305"/>
    <x v="2"/>
    <x v="0"/>
    <n v="80"/>
    <n v="116"/>
    <n v="5000"/>
    <n v="-36"/>
    <n v="-180000"/>
    <x v="1"/>
  </r>
  <r>
    <s v="P1306"/>
    <x v="5"/>
    <x v="8"/>
    <n v="29"/>
    <n v="86"/>
    <n v="8000"/>
    <n v="-57"/>
    <n v="-456000"/>
    <x v="1"/>
  </r>
  <r>
    <s v="P1307"/>
    <x v="9"/>
    <x v="5"/>
    <n v="119"/>
    <n v="43"/>
    <n v="500"/>
    <n v="76"/>
    <n v="38000"/>
    <x v="0"/>
  </r>
  <r>
    <s v="P1308"/>
    <x v="8"/>
    <x v="7"/>
    <n v="116"/>
    <n v="45"/>
    <n v="500"/>
    <n v="71"/>
    <n v="35500"/>
    <x v="0"/>
  </r>
  <r>
    <s v="P1309"/>
    <x v="1"/>
    <x v="7"/>
    <n v="102"/>
    <n v="95"/>
    <n v="12000"/>
    <n v="7"/>
    <n v="84000"/>
    <x v="1"/>
  </r>
  <r>
    <s v="P1310"/>
    <x v="6"/>
    <x v="5"/>
    <n v="24"/>
    <n v="108"/>
    <n v="12000"/>
    <n v="-84"/>
    <n v="-1008000"/>
    <x v="1"/>
  </r>
  <r>
    <s v="P1311"/>
    <x v="8"/>
    <x v="2"/>
    <n v="97"/>
    <n v="122"/>
    <n v="2500"/>
    <n v="-25"/>
    <n v="-62500"/>
    <x v="1"/>
  </r>
  <r>
    <s v="P1312"/>
    <x v="7"/>
    <x v="3"/>
    <n v="190"/>
    <n v="133"/>
    <n v="12000"/>
    <n v="57"/>
    <n v="684000"/>
    <x v="0"/>
  </r>
  <r>
    <s v="P1313"/>
    <x v="2"/>
    <x v="9"/>
    <n v="177"/>
    <n v="73"/>
    <n v="8000"/>
    <n v="104"/>
    <n v="832000"/>
    <x v="0"/>
  </r>
  <r>
    <s v="P1314"/>
    <x v="8"/>
    <x v="9"/>
    <n v="155"/>
    <n v="44"/>
    <n v="2500"/>
    <n v="111"/>
    <n v="277500"/>
    <x v="0"/>
  </r>
  <r>
    <s v="P1315"/>
    <x v="8"/>
    <x v="3"/>
    <n v="153"/>
    <n v="98"/>
    <n v="1200"/>
    <n v="55"/>
    <n v="66000"/>
    <x v="0"/>
  </r>
  <r>
    <s v="P1316"/>
    <x v="1"/>
    <x v="0"/>
    <n v="139"/>
    <n v="63"/>
    <n v="5000"/>
    <n v="76"/>
    <n v="380000"/>
    <x v="0"/>
  </r>
  <r>
    <s v="P1317"/>
    <x v="1"/>
    <x v="0"/>
    <n v="31"/>
    <n v="52"/>
    <n v="1500"/>
    <n v="-21"/>
    <n v="-31500"/>
    <x v="1"/>
  </r>
  <r>
    <s v="P1318"/>
    <x v="1"/>
    <x v="4"/>
    <n v="36"/>
    <n v="141"/>
    <n v="8000"/>
    <n v="-105"/>
    <n v="-840000"/>
    <x v="1"/>
  </r>
  <r>
    <s v="P1319"/>
    <x v="8"/>
    <x v="8"/>
    <n v="124"/>
    <n v="149"/>
    <n v="800"/>
    <n v="-25"/>
    <n v="-20000"/>
    <x v="1"/>
  </r>
  <r>
    <s v="P1320"/>
    <x v="0"/>
    <x v="9"/>
    <n v="152"/>
    <n v="57"/>
    <n v="800"/>
    <n v="95"/>
    <n v="76000"/>
    <x v="0"/>
  </r>
  <r>
    <s v="P1321"/>
    <x v="8"/>
    <x v="5"/>
    <n v="83"/>
    <n v="5"/>
    <n v="55000"/>
    <n v="78"/>
    <n v="4290000"/>
    <x v="0"/>
  </r>
  <r>
    <s v="P1322"/>
    <x v="5"/>
    <x v="6"/>
    <n v="152"/>
    <n v="133"/>
    <n v="1200"/>
    <n v="19"/>
    <n v="22800"/>
    <x v="0"/>
  </r>
  <r>
    <s v="P1323"/>
    <x v="6"/>
    <x v="7"/>
    <n v="159"/>
    <n v="133"/>
    <n v="1500"/>
    <n v="26"/>
    <n v="39000"/>
    <x v="0"/>
  </r>
  <r>
    <s v="P1324"/>
    <x v="9"/>
    <x v="8"/>
    <n v="195"/>
    <n v="14"/>
    <n v="1500"/>
    <n v="181"/>
    <n v="271500"/>
    <x v="0"/>
  </r>
  <r>
    <s v="P1325"/>
    <x v="2"/>
    <x v="8"/>
    <n v="112"/>
    <n v="6"/>
    <n v="1200"/>
    <n v="106"/>
    <n v="127200"/>
    <x v="0"/>
  </r>
  <r>
    <s v="P1326"/>
    <x v="1"/>
    <x v="6"/>
    <n v="131"/>
    <n v="75"/>
    <n v="1200"/>
    <n v="56"/>
    <n v="67200"/>
    <x v="0"/>
  </r>
  <r>
    <s v="P1327"/>
    <x v="2"/>
    <x v="4"/>
    <n v="35"/>
    <n v="14"/>
    <n v="30000"/>
    <n v="21"/>
    <n v="630000"/>
    <x v="0"/>
  </r>
  <r>
    <s v="P1328"/>
    <x v="4"/>
    <x v="2"/>
    <n v="106"/>
    <n v="69"/>
    <n v="12000"/>
    <n v="37"/>
    <n v="444000"/>
    <x v="0"/>
  </r>
  <r>
    <s v="P1329"/>
    <x v="4"/>
    <x v="3"/>
    <n v="153"/>
    <n v="32"/>
    <n v="30000"/>
    <n v="121"/>
    <n v="3630000"/>
    <x v="0"/>
  </r>
  <r>
    <s v="P1330"/>
    <x v="6"/>
    <x v="5"/>
    <n v="117"/>
    <n v="54"/>
    <n v="500"/>
    <n v="63"/>
    <n v="31500"/>
    <x v="0"/>
  </r>
  <r>
    <s v="P1331"/>
    <x v="6"/>
    <x v="8"/>
    <n v="51"/>
    <n v="46"/>
    <n v="30000"/>
    <n v="5"/>
    <n v="150000"/>
    <x v="1"/>
  </r>
  <r>
    <s v="P1332"/>
    <x v="0"/>
    <x v="1"/>
    <n v="137"/>
    <n v="126"/>
    <n v="2500"/>
    <n v="11"/>
    <n v="27500"/>
    <x v="0"/>
  </r>
  <r>
    <s v="P1333"/>
    <x v="1"/>
    <x v="3"/>
    <n v="124"/>
    <n v="9"/>
    <n v="8000"/>
    <n v="115"/>
    <n v="920000"/>
    <x v="0"/>
  </r>
  <r>
    <s v="P1334"/>
    <x v="4"/>
    <x v="4"/>
    <n v="117"/>
    <n v="107"/>
    <n v="5000"/>
    <n v="10"/>
    <n v="50000"/>
    <x v="0"/>
  </r>
  <r>
    <s v="P1335"/>
    <x v="8"/>
    <x v="3"/>
    <n v="52"/>
    <n v="72"/>
    <n v="30000"/>
    <n v="-20"/>
    <n v="-600000"/>
    <x v="1"/>
  </r>
  <r>
    <s v="P1336"/>
    <x v="8"/>
    <x v="6"/>
    <n v="93"/>
    <n v="131"/>
    <n v="5000"/>
    <n v="-38"/>
    <n v="-190000"/>
    <x v="1"/>
  </r>
  <r>
    <s v="P1337"/>
    <x v="3"/>
    <x v="4"/>
    <n v="98"/>
    <n v="26"/>
    <n v="1200"/>
    <n v="72"/>
    <n v="86400"/>
    <x v="0"/>
  </r>
  <r>
    <s v="P1338"/>
    <x v="9"/>
    <x v="3"/>
    <n v="71"/>
    <n v="118"/>
    <n v="8000"/>
    <n v="-47"/>
    <n v="-376000"/>
    <x v="1"/>
  </r>
  <r>
    <s v="P1339"/>
    <x v="9"/>
    <x v="4"/>
    <n v="198"/>
    <n v="75"/>
    <n v="55000"/>
    <n v="123"/>
    <n v="6765000"/>
    <x v="0"/>
  </r>
  <r>
    <s v="P1340"/>
    <x v="7"/>
    <x v="7"/>
    <n v="80"/>
    <n v="17"/>
    <n v="12000"/>
    <n v="63"/>
    <n v="756000"/>
    <x v="0"/>
  </r>
  <r>
    <s v="P1341"/>
    <x v="3"/>
    <x v="2"/>
    <n v="58"/>
    <n v="123"/>
    <n v="800"/>
    <n v="-65"/>
    <n v="-52000"/>
    <x v="1"/>
  </r>
  <r>
    <s v="P1342"/>
    <x v="0"/>
    <x v="9"/>
    <n v="82"/>
    <n v="140"/>
    <n v="30000"/>
    <n v="-58"/>
    <n v="-1740000"/>
    <x v="1"/>
  </r>
  <r>
    <s v="P1343"/>
    <x v="1"/>
    <x v="9"/>
    <n v="62"/>
    <n v="144"/>
    <n v="5000"/>
    <n v="-82"/>
    <n v="-410000"/>
    <x v="1"/>
  </r>
  <r>
    <s v="P1344"/>
    <x v="1"/>
    <x v="0"/>
    <n v="174"/>
    <n v="22"/>
    <n v="8000"/>
    <n v="152"/>
    <n v="1216000"/>
    <x v="0"/>
  </r>
  <r>
    <s v="P1345"/>
    <x v="5"/>
    <x v="0"/>
    <n v="115"/>
    <n v="74"/>
    <n v="30000"/>
    <n v="41"/>
    <n v="1230000"/>
    <x v="0"/>
  </r>
  <r>
    <s v="P1346"/>
    <x v="9"/>
    <x v="3"/>
    <n v="73"/>
    <n v="133"/>
    <n v="8000"/>
    <n v="-60"/>
    <n v="-480000"/>
    <x v="1"/>
  </r>
  <r>
    <s v="P1347"/>
    <x v="3"/>
    <x v="9"/>
    <n v="191"/>
    <n v="28"/>
    <n v="2500"/>
    <n v="163"/>
    <n v="407500"/>
    <x v="0"/>
  </r>
  <r>
    <s v="P1348"/>
    <x v="8"/>
    <x v="1"/>
    <n v="43"/>
    <n v="122"/>
    <n v="1500"/>
    <n v="-79"/>
    <n v="-118500"/>
    <x v="1"/>
  </r>
  <r>
    <s v="P1349"/>
    <x v="6"/>
    <x v="0"/>
    <n v="172"/>
    <n v="14"/>
    <n v="12000"/>
    <n v="158"/>
    <n v="1896000"/>
    <x v="0"/>
  </r>
  <r>
    <s v="P1350"/>
    <x v="7"/>
    <x v="1"/>
    <n v="20"/>
    <n v="62"/>
    <n v="2500"/>
    <n v="-42"/>
    <n v="-105000"/>
    <x v="1"/>
  </r>
  <r>
    <s v="P1351"/>
    <x v="8"/>
    <x v="4"/>
    <n v="124"/>
    <n v="37"/>
    <n v="1200"/>
    <n v="87"/>
    <n v="104400"/>
    <x v="0"/>
  </r>
  <r>
    <s v="P1352"/>
    <x v="3"/>
    <x v="9"/>
    <n v="67"/>
    <n v="56"/>
    <n v="1200"/>
    <n v="11"/>
    <n v="13200"/>
    <x v="0"/>
  </r>
  <r>
    <s v="P1353"/>
    <x v="7"/>
    <x v="8"/>
    <n v="96"/>
    <n v="100"/>
    <n v="2500"/>
    <n v="-4"/>
    <n v="-10000"/>
    <x v="1"/>
  </r>
  <r>
    <s v="P1354"/>
    <x v="4"/>
    <x v="4"/>
    <n v="96"/>
    <n v="133"/>
    <n v="12000"/>
    <n v="-37"/>
    <n v="-444000"/>
    <x v="1"/>
  </r>
  <r>
    <s v="P1355"/>
    <x v="4"/>
    <x v="9"/>
    <n v="111"/>
    <n v="89"/>
    <n v="12000"/>
    <n v="22"/>
    <n v="264000"/>
    <x v="0"/>
  </r>
  <r>
    <s v="P1356"/>
    <x v="2"/>
    <x v="8"/>
    <n v="82"/>
    <n v="9"/>
    <n v="1200"/>
    <n v="73"/>
    <n v="87600"/>
    <x v="0"/>
  </r>
  <r>
    <s v="P1357"/>
    <x v="2"/>
    <x v="9"/>
    <n v="60"/>
    <n v="11"/>
    <n v="800"/>
    <n v="49"/>
    <n v="39200"/>
    <x v="0"/>
  </r>
  <r>
    <s v="P1358"/>
    <x v="1"/>
    <x v="6"/>
    <n v="131"/>
    <n v="45"/>
    <n v="30000"/>
    <n v="86"/>
    <n v="2580000"/>
    <x v="0"/>
  </r>
  <r>
    <s v="P1359"/>
    <x v="5"/>
    <x v="1"/>
    <n v="71"/>
    <n v="139"/>
    <n v="12000"/>
    <n v="-68"/>
    <n v="-816000"/>
    <x v="1"/>
  </r>
  <r>
    <s v="P1360"/>
    <x v="9"/>
    <x v="6"/>
    <n v="134"/>
    <n v="55"/>
    <n v="12000"/>
    <n v="79"/>
    <n v="948000"/>
    <x v="0"/>
  </r>
  <r>
    <s v="P1361"/>
    <x v="6"/>
    <x v="3"/>
    <n v="57"/>
    <n v="45"/>
    <n v="30000"/>
    <n v="12"/>
    <n v="360000"/>
    <x v="0"/>
  </r>
  <r>
    <s v="P1362"/>
    <x v="7"/>
    <x v="1"/>
    <n v="82"/>
    <n v="139"/>
    <n v="30000"/>
    <n v="-57"/>
    <n v="-1710000"/>
    <x v="1"/>
  </r>
  <r>
    <s v="P1363"/>
    <x v="6"/>
    <x v="5"/>
    <n v="124"/>
    <n v="44"/>
    <n v="1500"/>
    <n v="80"/>
    <n v="120000"/>
    <x v="0"/>
  </r>
  <r>
    <s v="P1364"/>
    <x v="7"/>
    <x v="1"/>
    <n v="51"/>
    <n v="54"/>
    <n v="800"/>
    <n v="-3"/>
    <n v="-2400"/>
    <x v="1"/>
  </r>
  <r>
    <s v="P1365"/>
    <x v="9"/>
    <x v="7"/>
    <n v="167"/>
    <n v="105"/>
    <n v="2500"/>
    <n v="62"/>
    <n v="155000"/>
    <x v="0"/>
  </r>
  <r>
    <s v="P1366"/>
    <x v="2"/>
    <x v="4"/>
    <n v="104"/>
    <n v="54"/>
    <n v="800"/>
    <n v="50"/>
    <n v="40000"/>
    <x v="0"/>
  </r>
  <r>
    <s v="P1367"/>
    <x v="2"/>
    <x v="2"/>
    <n v="23"/>
    <n v="116"/>
    <n v="800"/>
    <n v="-93"/>
    <n v="-74400"/>
    <x v="1"/>
  </r>
  <r>
    <s v="P1368"/>
    <x v="5"/>
    <x v="0"/>
    <n v="174"/>
    <n v="37"/>
    <n v="12000"/>
    <n v="137"/>
    <n v="1644000"/>
    <x v="0"/>
  </r>
  <r>
    <s v="P1369"/>
    <x v="9"/>
    <x v="6"/>
    <n v="151"/>
    <n v="85"/>
    <n v="1500"/>
    <n v="66"/>
    <n v="99000"/>
    <x v="0"/>
  </r>
  <r>
    <s v="P1370"/>
    <x v="7"/>
    <x v="4"/>
    <n v="62"/>
    <n v="42"/>
    <n v="500"/>
    <n v="20"/>
    <n v="10000"/>
    <x v="0"/>
  </r>
  <r>
    <s v="P1371"/>
    <x v="4"/>
    <x v="7"/>
    <n v="79"/>
    <n v="58"/>
    <n v="1200"/>
    <n v="21"/>
    <n v="25200"/>
    <x v="0"/>
  </r>
  <r>
    <s v="P1372"/>
    <x v="1"/>
    <x v="0"/>
    <n v="87"/>
    <n v="108"/>
    <n v="8000"/>
    <n v="-21"/>
    <n v="-168000"/>
    <x v="1"/>
  </r>
  <r>
    <s v="P1373"/>
    <x v="0"/>
    <x v="5"/>
    <n v="46"/>
    <n v="138"/>
    <n v="800"/>
    <n v="-92"/>
    <n v="-73600"/>
    <x v="1"/>
  </r>
  <r>
    <s v="P1374"/>
    <x v="5"/>
    <x v="8"/>
    <n v="128"/>
    <n v="23"/>
    <n v="8000"/>
    <n v="105"/>
    <n v="840000"/>
    <x v="0"/>
  </r>
  <r>
    <s v="P1375"/>
    <x v="6"/>
    <x v="6"/>
    <n v="34"/>
    <n v="11"/>
    <n v="12000"/>
    <n v="23"/>
    <n v="276000"/>
    <x v="0"/>
  </r>
  <r>
    <s v="P1376"/>
    <x v="8"/>
    <x v="7"/>
    <n v="113"/>
    <n v="26"/>
    <n v="500"/>
    <n v="87"/>
    <n v="43500"/>
    <x v="0"/>
  </r>
  <r>
    <s v="P1377"/>
    <x v="0"/>
    <x v="6"/>
    <n v="103"/>
    <n v="82"/>
    <n v="2500"/>
    <n v="21"/>
    <n v="52500"/>
    <x v="0"/>
  </r>
  <r>
    <s v="P1378"/>
    <x v="8"/>
    <x v="5"/>
    <n v="34"/>
    <n v="97"/>
    <n v="55000"/>
    <n v="-63"/>
    <n v="-3465000"/>
    <x v="1"/>
  </r>
  <r>
    <s v="P1379"/>
    <x v="1"/>
    <x v="6"/>
    <n v="122"/>
    <n v="54"/>
    <n v="1500"/>
    <n v="68"/>
    <n v="102000"/>
    <x v="0"/>
  </r>
  <r>
    <s v="P1380"/>
    <x v="2"/>
    <x v="7"/>
    <n v="110"/>
    <n v="115"/>
    <n v="55000"/>
    <n v="-5"/>
    <n v="-275000"/>
    <x v="1"/>
  </r>
  <r>
    <s v="P1381"/>
    <x v="6"/>
    <x v="0"/>
    <n v="72"/>
    <n v="30"/>
    <n v="30000"/>
    <n v="42"/>
    <n v="1260000"/>
    <x v="0"/>
  </r>
  <r>
    <s v="P1382"/>
    <x v="7"/>
    <x v="8"/>
    <n v="64"/>
    <n v="19"/>
    <n v="1500"/>
    <n v="45"/>
    <n v="67500"/>
    <x v="0"/>
  </r>
  <r>
    <s v="P1383"/>
    <x v="4"/>
    <x v="5"/>
    <n v="144"/>
    <n v="121"/>
    <n v="1200"/>
    <n v="23"/>
    <n v="27600"/>
    <x v="0"/>
  </r>
  <r>
    <s v="P1384"/>
    <x v="5"/>
    <x v="5"/>
    <n v="184"/>
    <n v="116"/>
    <n v="800"/>
    <n v="68"/>
    <n v="54400"/>
    <x v="0"/>
  </r>
  <r>
    <s v="P1385"/>
    <x v="0"/>
    <x v="3"/>
    <n v="121"/>
    <n v="119"/>
    <n v="30000"/>
    <n v="2"/>
    <n v="60000"/>
    <x v="1"/>
  </r>
  <r>
    <s v="P1386"/>
    <x v="1"/>
    <x v="3"/>
    <n v="24"/>
    <n v="109"/>
    <n v="5000"/>
    <n v="-85"/>
    <n v="-425000"/>
    <x v="1"/>
  </r>
  <r>
    <s v="P1387"/>
    <x v="2"/>
    <x v="4"/>
    <n v="178"/>
    <n v="134"/>
    <n v="12000"/>
    <n v="44"/>
    <n v="528000"/>
    <x v="0"/>
  </r>
  <r>
    <s v="P1388"/>
    <x v="8"/>
    <x v="9"/>
    <n v="130"/>
    <n v="86"/>
    <n v="30000"/>
    <n v="44"/>
    <n v="1320000"/>
    <x v="0"/>
  </r>
  <r>
    <s v="P1389"/>
    <x v="8"/>
    <x v="5"/>
    <n v="126"/>
    <n v="30"/>
    <n v="55000"/>
    <n v="96"/>
    <n v="5280000"/>
    <x v="0"/>
  </r>
  <r>
    <s v="P1390"/>
    <x v="4"/>
    <x v="2"/>
    <n v="136"/>
    <n v="15"/>
    <n v="2500"/>
    <n v="121"/>
    <n v="302500"/>
    <x v="0"/>
  </r>
  <r>
    <s v="P1391"/>
    <x v="5"/>
    <x v="8"/>
    <n v="93"/>
    <n v="92"/>
    <n v="800"/>
    <n v="1"/>
    <n v="800"/>
    <x v="1"/>
  </r>
  <r>
    <s v="P1392"/>
    <x v="5"/>
    <x v="4"/>
    <n v="153"/>
    <n v="44"/>
    <n v="2500"/>
    <n v="109"/>
    <n v="272500"/>
    <x v="0"/>
  </r>
  <r>
    <s v="P1393"/>
    <x v="0"/>
    <x v="1"/>
    <n v="82"/>
    <n v="69"/>
    <n v="8000"/>
    <n v="13"/>
    <n v="104000"/>
    <x v="0"/>
  </r>
  <r>
    <s v="P1394"/>
    <x v="7"/>
    <x v="4"/>
    <n v="120"/>
    <n v="65"/>
    <n v="1500"/>
    <n v="55"/>
    <n v="82500"/>
    <x v="0"/>
  </r>
  <r>
    <s v="P1395"/>
    <x v="6"/>
    <x v="7"/>
    <n v="90"/>
    <n v="32"/>
    <n v="2500"/>
    <n v="58"/>
    <n v="145000"/>
    <x v="0"/>
  </r>
  <r>
    <s v="P1396"/>
    <x v="6"/>
    <x v="8"/>
    <n v="102"/>
    <n v="123"/>
    <n v="1200"/>
    <n v="-21"/>
    <n v="-25200"/>
    <x v="1"/>
  </r>
  <r>
    <s v="P1397"/>
    <x v="4"/>
    <x v="5"/>
    <n v="170"/>
    <n v="56"/>
    <n v="800"/>
    <n v="114"/>
    <n v="91200"/>
    <x v="0"/>
  </r>
  <r>
    <s v="P1398"/>
    <x v="1"/>
    <x v="3"/>
    <n v="117"/>
    <n v="70"/>
    <n v="500"/>
    <n v="47"/>
    <n v="23500"/>
    <x v="0"/>
  </r>
  <r>
    <s v="P1399"/>
    <x v="0"/>
    <x v="8"/>
    <n v="175"/>
    <n v="111"/>
    <n v="55000"/>
    <n v="64"/>
    <n v="3520000"/>
    <x v="0"/>
  </r>
  <r>
    <s v="P1400"/>
    <x v="7"/>
    <x v="6"/>
    <n v="51"/>
    <n v="3"/>
    <n v="55000"/>
    <n v="48"/>
    <n v="2640000"/>
    <x v="0"/>
  </r>
  <r>
    <s v="P1401"/>
    <x v="9"/>
    <x v="1"/>
    <n v="191"/>
    <n v="90"/>
    <n v="800"/>
    <n v="101"/>
    <n v="80800"/>
    <x v="0"/>
  </r>
  <r>
    <s v="P1402"/>
    <x v="3"/>
    <x v="9"/>
    <n v="105"/>
    <n v="86"/>
    <n v="800"/>
    <n v="19"/>
    <n v="15200"/>
    <x v="0"/>
  </r>
  <r>
    <s v="P1403"/>
    <x v="8"/>
    <x v="8"/>
    <n v="82"/>
    <n v="36"/>
    <n v="8000"/>
    <n v="46"/>
    <n v="368000"/>
    <x v="0"/>
  </r>
  <r>
    <s v="P1404"/>
    <x v="0"/>
    <x v="4"/>
    <n v="122"/>
    <n v="146"/>
    <n v="1200"/>
    <n v="-24"/>
    <n v="-28800"/>
    <x v="1"/>
  </r>
  <r>
    <s v="P1405"/>
    <x v="8"/>
    <x v="8"/>
    <n v="142"/>
    <n v="78"/>
    <n v="2500"/>
    <n v="64"/>
    <n v="160000"/>
    <x v="0"/>
  </r>
  <r>
    <s v="P1406"/>
    <x v="5"/>
    <x v="4"/>
    <n v="89"/>
    <n v="90"/>
    <n v="800"/>
    <n v="-1"/>
    <n v="-800"/>
    <x v="1"/>
  </r>
  <r>
    <s v="P1407"/>
    <x v="6"/>
    <x v="5"/>
    <n v="70"/>
    <n v="123"/>
    <n v="12000"/>
    <n v="-53"/>
    <n v="-636000"/>
    <x v="1"/>
  </r>
  <r>
    <s v="P1408"/>
    <x v="1"/>
    <x v="8"/>
    <n v="139"/>
    <n v="45"/>
    <n v="500"/>
    <n v="94"/>
    <n v="47000"/>
    <x v="0"/>
  </r>
  <r>
    <s v="P1409"/>
    <x v="7"/>
    <x v="8"/>
    <n v="57"/>
    <n v="75"/>
    <n v="5000"/>
    <n v="-18"/>
    <n v="-90000"/>
    <x v="1"/>
  </r>
  <r>
    <s v="P1410"/>
    <x v="1"/>
    <x v="3"/>
    <n v="167"/>
    <n v="65"/>
    <n v="5000"/>
    <n v="102"/>
    <n v="510000"/>
    <x v="0"/>
  </r>
  <r>
    <s v="P1411"/>
    <x v="4"/>
    <x v="8"/>
    <n v="67"/>
    <n v="84"/>
    <n v="500"/>
    <n v="-17"/>
    <n v="-8500"/>
    <x v="1"/>
  </r>
  <r>
    <s v="P1412"/>
    <x v="5"/>
    <x v="5"/>
    <n v="146"/>
    <n v="22"/>
    <n v="55000"/>
    <n v="124"/>
    <n v="6820000"/>
    <x v="0"/>
  </r>
  <r>
    <s v="P1413"/>
    <x v="4"/>
    <x v="8"/>
    <n v="71"/>
    <n v="27"/>
    <n v="5000"/>
    <n v="44"/>
    <n v="220000"/>
    <x v="0"/>
  </r>
  <r>
    <s v="P1414"/>
    <x v="7"/>
    <x v="4"/>
    <n v="34"/>
    <n v="59"/>
    <n v="500"/>
    <n v="-25"/>
    <n v="-12500"/>
    <x v="1"/>
  </r>
  <r>
    <s v="P1415"/>
    <x v="4"/>
    <x v="7"/>
    <n v="196"/>
    <n v="84"/>
    <n v="8000"/>
    <n v="112"/>
    <n v="896000"/>
    <x v="0"/>
  </r>
  <r>
    <s v="P1416"/>
    <x v="5"/>
    <x v="8"/>
    <n v="27"/>
    <n v="40"/>
    <n v="2500"/>
    <n v="-13"/>
    <n v="-32500"/>
    <x v="1"/>
  </r>
  <r>
    <s v="P1417"/>
    <x v="4"/>
    <x v="5"/>
    <n v="69"/>
    <n v="31"/>
    <n v="8000"/>
    <n v="38"/>
    <n v="304000"/>
    <x v="0"/>
  </r>
  <r>
    <s v="P1418"/>
    <x v="2"/>
    <x v="0"/>
    <n v="125"/>
    <n v="138"/>
    <n v="500"/>
    <n v="-13"/>
    <n v="-6500"/>
    <x v="1"/>
  </r>
  <r>
    <s v="P1419"/>
    <x v="0"/>
    <x v="6"/>
    <n v="170"/>
    <n v="12"/>
    <n v="8000"/>
    <n v="158"/>
    <n v="1264000"/>
    <x v="0"/>
  </r>
  <r>
    <s v="P1420"/>
    <x v="8"/>
    <x v="1"/>
    <n v="102"/>
    <n v="128"/>
    <n v="800"/>
    <n v="-26"/>
    <n v="-20800"/>
    <x v="1"/>
  </r>
  <r>
    <s v="P1421"/>
    <x v="0"/>
    <x v="0"/>
    <n v="160"/>
    <n v="25"/>
    <n v="55000"/>
    <n v="135"/>
    <n v="7425000"/>
    <x v="0"/>
  </r>
  <r>
    <s v="P1422"/>
    <x v="6"/>
    <x v="4"/>
    <n v="166"/>
    <n v="103"/>
    <n v="500"/>
    <n v="63"/>
    <n v="31500"/>
    <x v="0"/>
  </r>
  <r>
    <s v="P1423"/>
    <x v="9"/>
    <x v="6"/>
    <n v="157"/>
    <n v="28"/>
    <n v="1500"/>
    <n v="129"/>
    <n v="193500"/>
    <x v="0"/>
  </r>
  <r>
    <s v="P1424"/>
    <x v="3"/>
    <x v="1"/>
    <n v="187"/>
    <n v="70"/>
    <n v="800"/>
    <n v="117"/>
    <n v="93600"/>
    <x v="0"/>
  </r>
  <r>
    <s v="P1425"/>
    <x v="2"/>
    <x v="6"/>
    <n v="175"/>
    <n v="106"/>
    <n v="5000"/>
    <n v="69"/>
    <n v="345000"/>
    <x v="0"/>
  </r>
  <r>
    <s v="P1426"/>
    <x v="7"/>
    <x v="1"/>
    <n v="55"/>
    <n v="68"/>
    <n v="800"/>
    <n v="-13"/>
    <n v="-10400"/>
    <x v="1"/>
  </r>
  <r>
    <s v="P1427"/>
    <x v="4"/>
    <x v="3"/>
    <n v="106"/>
    <n v="23"/>
    <n v="5000"/>
    <n v="83"/>
    <n v="415000"/>
    <x v="0"/>
  </r>
  <r>
    <s v="P1428"/>
    <x v="1"/>
    <x v="0"/>
    <n v="26"/>
    <n v="82"/>
    <n v="12000"/>
    <n v="-56"/>
    <n v="-672000"/>
    <x v="1"/>
  </r>
  <r>
    <s v="P1429"/>
    <x v="1"/>
    <x v="4"/>
    <n v="195"/>
    <n v="32"/>
    <n v="8000"/>
    <n v="163"/>
    <n v="1304000"/>
    <x v="0"/>
  </r>
  <r>
    <s v="P1430"/>
    <x v="2"/>
    <x v="4"/>
    <n v="190"/>
    <n v="117"/>
    <n v="12000"/>
    <n v="73"/>
    <n v="876000"/>
    <x v="0"/>
  </r>
  <r>
    <s v="P1431"/>
    <x v="1"/>
    <x v="3"/>
    <n v="67"/>
    <n v="36"/>
    <n v="30000"/>
    <n v="31"/>
    <n v="930000"/>
    <x v="0"/>
  </r>
  <r>
    <s v="P1432"/>
    <x v="6"/>
    <x v="5"/>
    <n v="193"/>
    <n v="38"/>
    <n v="8000"/>
    <n v="155"/>
    <n v="1240000"/>
    <x v="0"/>
  </r>
  <r>
    <s v="P1433"/>
    <x v="9"/>
    <x v="8"/>
    <n v="195"/>
    <n v="111"/>
    <n v="2500"/>
    <n v="84"/>
    <n v="210000"/>
    <x v="0"/>
  </r>
  <r>
    <s v="P1434"/>
    <x v="2"/>
    <x v="4"/>
    <n v="141"/>
    <n v="100"/>
    <n v="55000"/>
    <n v="41"/>
    <n v="2255000"/>
    <x v="0"/>
  </r>
  <r>
    <s v="P1435"/>
    <x v="5"/>
    <x v="1"/>
    <n v="161"/>
    <n v="114"/>
    <n v="800"/>
    <n v="47"/>
    <n v="37600"/>
    <x v="0"/>
  </r>
  <r>
    <s v="P1436"/>
    <x v="2"/>
    <x v="9"/>
    <n v="43"/>
    <n v="132"/>
    <n v="800"/>
    <n v="-89"/>
    <n v="-71200"/>
    <x v="1"/>
  </r>
  <r>
    <s v="P1437"/>
    <x v="9"/>
    <x v="2"/>
    <n v="82"/>
    <n v="67"/>
    <n v="2500"/>
    <n v="15"/>
    <n v="37500"/>
    <x v="0"/>
  </r>
  <r>
    <s v="P1438"/>
    <x v="9"/>
    <x v="0"/>
    <n v="25"/>
    <n v="4"/>
    <n v="2500"/>
    <n v="21"/>
    <n v="52500"/>
    <x v="0"/>
  </r>
  <r>
    <s v="P1439"/>
    <x v="3"/>
    <x v="0"/>
    <n v="27"/>
    <n v="108"/>
    <n v="30000"/>
    <n v="-81"/>
    <n v="-2430000"/>
    <x v="1"/>
  </r>
  <r>
    <s v="P1440"/>
    <x v="5"/>
    <x v="8"/>
    <n v="166"/>
    <n v="15"/>
    <n v="2500"/>
    <n v="151"/>
    <n v="377500"/>
    <x v="0"/>
  </r>
  <r>
    <s v="P1441"/>
    <x v="6"/>
    <x v="4"/>
    <n v="150"/>
    <n v="40"/>
    <n v="500"/>
    <n v="110"/>
    <n v="55000"/>
    <x v="0"/>
  </r>
  <r>
    <s v="P1442"/>
    <x v="9"/>
    <x v="9"/>
    <n v="48"/>
    <n v="121"/>
    <n v="55000"/>
    <n v="-73"/>
    <n v="-4015000"/>
    <x v="1"/>
  </r>
  <r>
    <s v="P1443"/>
    <x v="7"/>
    <x v="9"/>
    <n v="43"/>
    <n v="56"/>
    <n v="55000"/>
    <n v="-13"/>
    <n v="-715000"/>
    <x v="1"/>
  </r>
  <r>
    <s v="P1444"/>
    <x v="5"/>
    <x v="2"/>
    <n v="115"/>
    <n v="41"/>
    <n v="2500"/>
    <n v="74"/>
    <n v="185000"/>
    <x v="0"/>
  </r>
  <r>
    <s v="P1445"/>
    <x v="7"/>
    <x v="1"/>
    <n v="149"/>
    <n v="133"/>
    <n v="1500"/>
    <n v="16"/>
    <n v="24000"/>
    <x v="0"/>
  </r>
  <r>
    <s v="P1446"/>
    <x v="7"/>
    <x v="3"/>
    <n v="77"/>
    <n v="12"/>
    <n v="800"/>
    <n v="65"/>
    <n v="52000"/>
    <x v="0"/>
  </r>
  <r>
    <s v="P1447"/>
    <x v="3"/>
    <x v="4"/>
    <n v="192"/>
    <n v="32"/>
    <n v="1500"/>
    <n v="160"/>
    <n v="240000"/>
    <x v="0"/>
  </r>
  <r>
    <s v="P1448"/>
    <x v="9"/>
    <x v="5"/>
    <n v="56"/>
    <n v="132"/>
    <n v="30000"/>
    <n v="-76"/>
    <n v="-2280000"/>
    <x v="1"/>
  </r>
  <r>
    <s v="P1449"/>
    <x v="3"/>
    <x v="7"/>
    <n v="41"/>
    <n v="62"/>
    <n v="12000"/>
    <n v="-21"/>
    <n v="-252000"/>
    <x v="1"/>
  </r>
  <r>
    <s v="P1450"/>
    <x v="2"/>
    <x v="9"/>
    <n v="150"/>
    <n v="13"/>
    <n v="8000"/>
    <n v="137"/>
    <n v="1096000"/>
    <x v="0"/>
  </r>
  <r>
    <s v="P1451"/>
    <x v="6"/>
    <x v="3"/>
    <n v="112"/>
    <n v="49"/>
    <n v="5000"/>
    <n v="63"/>
    <n v="315000"/>
    <x v="0"/>
  </r>
  <r>
    <s v="P1452"/>
    <x v="8"/>
    <x v="4"/>
    <n v="97"/>
    <n v="25"/>
    <n v="800"/>
    <n v="72"/>
    <n v="57600"/>
    <x v="0"/>
  </r>
  <r>
    <s v="P1453"/>
    <x v="4"/>
    <x v="9"/>
    <n v="110"/>
    <n v="128"/>
    <n v="5000"/>
    <n v="-18"/>
    <n v="-90000"/>
    <x v="1"/>
  </r>
  <r>
    <s v="P1454"/>
    <x v="1"/>
    <x v="4"/>
    <n v="28"/>
    <n v="88"/>
    <n v="1500"/>
    <n v="-60"/>
    <n v="-90000"/>
    <x v="1"/>
  </r>
  <r>
    <s v="P1455"/>
    <x v="6"/>
    <x v="9"/>
    <n v="53"/>
    <n v="86"/>
    <n v="2500"/>
    <n v="-33"/>
    <n v="-82500"/>
    <x v="1"/>
  </r>
  <r>
    <s v="P1456"/>
    <x v="1"/>
    <x v="7"/>
    <n v="182"/>
    <n v="101"/>
    <n v="800"/>
    <n v="81"/>
    <n v="64800"/>
    <x v="0"/>
  </r>
  <r>
    <s v="P1457"/>
    <x v="9"/>
    <x v="7"/>
    <n v="158"/>
    <n v="50"/>
    <n v="800"/>
    <n v="108"/>
    <n v="86400"/>
    <x v="0"/>
  </r>
  <r>
    <s v="P1458"/>
    <x v="3"/>
    <x v="0"/>
    <n v="35"/>
    <n v="18"/>
    <n v="12000"/>
    <n v="17"/>
    <n v="204000"/>
    <x v="0"/>
  </r>
  <r>
    <s v="P1459"/>
    <x v="5"/>
    <x v="2"/>
    <n v="169"/>
    <n v="91"/>
    <n v="8000"/>
    <n v="78"/>
    <n v="624000"/>
    <x v="0"/>
  </r>
  <r>
    <s v="P1460"/>
    <x v="3"/>
    <x v="6"/>
    <n v="51"/>
    <n v="14"/>
    <n v="30000"/>
    <n v="37"/>
    <n v="1110000"/>
    <x v="0"/>
  </r>
  <r>
    <s v="P1461"/>
    <x v="6"/>
    <x v="5"/>
    <n v="38"/>
    <n v="120"/>
    <n v="1200"/>
    <n v="-82"/>
    <n v="-98400"/>
    <x v="1"/>
  </r>
  <r>
    <s v="P1462"/>
    <x v="2"/>
    <x v="1"/>
    <n v="192"/>
    <n v="108"/>
    <n v="8000"/>
    <n v="84"/>
    <n v="672000"/>
    <x v="0"/>
  </r>
  <r>
    <s v="P1463"/>
    <x v="5"/>
    <x v="3"/>
    <n v="123"/>
    <n v="34"/>
    <n v="1200"/>
    <n v="89"/>
    <n v="106800"/>
    <x v="0"/>
  </r>
  <r>
    <s v="P1464"/>
    <x v="3"/>
    <x v="4"/>
    <n v="164"/>
    <n v="79"/>
    <n v="800"/>
    <n v="85"/>
    <n v="68000"/>
    <x v="0"/>
  </r>
  <r>
    <s v="P1465"/>
    <x v="3"/>
    <x v="2"/>
    <n v="111"/>
    <n v="72"/>
    <n v="1500"/>
    <n v="39"/>
    <n v="58500"/>
    <x v="0"/>
  </r>
  <r>
    <s v="P1466"/>
    <x v="5"/>
    <x v="2"/>
    <n v="48"/>
    <n v="55"/>
    <n v="8000"/>
    <n v="-7"/>
    <n v="-56000"/>
    <x v="1"/>
  </r>
  <r>
    <s v="P1467"/>
    <x v="2"/>
    <x v="1"/>
    <n v="64"/>
    <n v="118"/>
    <n v="1500"/>
    <n v="-54"/>
    <n v="-81000"/>
    <x v="1"/>
  </r>
  <r>
    <s v="P1468"/>
    <x v="2"/>
    <x v="7"/>
    <n v="191"/>
    <n v="57"/>
    <n v="2500"/>
    <n v="134"/>
    <n v="335000"/>
    <x v="0"/>
  </r>
  <r>
    <s v="P1469"/>
    <x v="3"/>
    <x v="4"/>
    <n v="129"/>
    <n v="110"/>
    <n v="8000"/>
    <n v="19"/>
    <n v="152000"/>
    <x v="0"/>
  </r>
  <r>
    <s v="P1470"/>
    <x v="0"/>
    <x v="0"/>
    <n v="135"/>
    <n v="78"/>
    <n v="8000"/>
    <n v="57"/>
    <n v="456000"/>
    <x v="0"/>
  </r>
  <r>
    <s v="P1471"/>
    <x v="8"/>
    <x v="4"/>
    <n v="60"/>
    <n v="33"/>
    <n v="500"/>
    <n v="27"/>
    <n v="13500"/>
    <x v="0"/>
  </r>
  <r>
    <s v="P1472"/>
    <x v="9"/>
    <x v="0"/>
    <n v="155"/>
    <n v="101"/>
    <n v="8000"/>
    <n v="54"/>
    <n v="432000"/>
    <x v="0"/>
  </r>
  <r>
    <s v="P1473"/>
    <x v="8"/>
    <x v="2"/>
    <n v="165"/>
    <n v="81"/>
    <n v="30000"/>
    <n v="84"/>
    <n v="2520000"/>
    <x v="0"/>
  </r>
  <r>
    <s v="P1474"/>
    <x v="1"/>
    <x v="7"/>
    <n v="130"/>
    <n v="25"/>
    <n v="500"/>
    <n v="105"/>
    <n v="52500"/>
    <x v="0"/>
  </r>
  <r>
    <s v="P1475"/>
    <x v="1"/>
    <x v="9"/>
    <n v="197"/>
    <n v="83"/>
    <n v="800"/>
    <n v="114"/>
    <n v="91200"/>
    <x v="0"/>
  </r>
  <r>
    <s v="P1476"/>
    <x v="6"/>
    <x v="2"/>
    <n v="134"/>
    <n v="20"/>
    <n v="8000"/>
    <n v="114"/>
    <n v="912000"/>
    <x v="0"/>
  </r>
  <r>
    <s v="P1477"/>
    <x v="5"/>
    <x v="7"/>
    <n v="165"/>
    <n v="83"/>
    <n v="5000"/>
    <n v="82"/>
    <n v="410000"/>
    <x v="0"/>
  </r>
  <r>
    <s v="P1478"/>
    <x v="1"/>
    <x v="6"/>
    <n v="188"/>
    <n v="34"/>
    <n v="800"/>
    <n v="154"/>
    <n v="123200"/>
    <x v="0"/>
  </r>
  <r>
    <s v="P1479"/>
    <x v="7"/>
    <x v="9"/>
    <n v="171"/>
    <n v="146"/>
    <n v="8000"/>
    <n v="25"/>
    <n v="200000"/>
    <x v="0"/>
  </r>
  <r>
    <s v="P1480"/>
    <x v="3"/>
    <x v="4"/>
    <n v="150"/>
    <n v="105"/>
    <n v="1500"/>
    <n v="45"/>
    <n v="67500"/>
    <x v="0"/>
  </r>
  <r>
    <s v="P1481"/>
    <x v="5"/>
    <x v="0"/>
    <n v="66"/>
    <n v="140"/>
    <n v="55000"/>
    <n v="-74"/>
    <n v="-4070000"/>
    <x v="1"/>
  </r>
  <r>
    <s v="P1482"/>
    <x v="8"/>
    <x v="0"/>
    <n v="77"/>
    <n v="116"/>
    <n v="1500"/>
    <n v="-39"/>
    <n v="-58500"/>
    <x v="1"/>
  </r>
  <r>
    <s v="P1483"/>
    <x v="8"/>
    <x v="5"/>
    <n v="130"/>
    <n v="45"/>
    <n v="30000"/>
    <n v="85"/>
    <n v="2550000"/>
    <x v="0"/>
  </r>
  <r>
    <s v="P1484"/>
    <x v="6"/>
    <x v="1"/>
    <n v="120"/>
    <n v="131"/>
    <n v="500"/>
    <n v="-11"/>
    <n v="-5500"/>
    <x v="1"/>
  </r>
  <r>
    <s v="P1485"/>
    <x v="2"/>
    <x v="0"/>
    <n v="75"/>
    <n v="27"/>
    <n v="1500"/>
    <n v="48"/>
    <n v="72000"/>
    <x v="0"/>
  </r>
  <r>
    <s v="P1486"/>
    <x v="5"/>
    <x v="2"/>
    <n v="117"/>
    <n v="12"/>
    <n v="800"/>
    <n v="105"/>
    <n v="84000"/>
    <x v="0"/>
  </r>
  <r>
    <s v="P1487"/>
    <x v="3"/>
    <x v="6"/>
    <n v="99"/>
    <n v="119"/>
    <n v="800"/>
    <n v="-20"/>
    <n v="-16000"/>
    <x v="1"/>
  </r>
  <r>
    <s v="P1488"/>
    <x v="8"/>
    <x v="3"/>
    <n v="49"/>
    <n v="139"/>
    <n v="12000"/>
    <n v="-90"/>
    <n v="-1080000"/>
    <x v="1"/>
  </r>
  <r>
    <s v="P1489"/>
    <x v="0"/>
    <x v="2"/>
    <n v="104"/>
    <n v="0"/>
    <n v="2500"/>
    <n v="104"/>
    <n v="260000"/>
    <x v="0"/>
  </r>
  <r>
    <s v="P1490"/>
    <x v="8"/>
    <x v="4"/>
    <n v="180"/>
    <n v="89"/>
    <n v="500"/>
    <n v="91"/>
    <n v="45500"/>
    <x v="0"/>
  </r>
  <r>
    <s v="P1491"/>
    <x v="6"/>
    <x v="1"/>
    <n v="136"/>
    <n v="103"/>
    <n v="12000"/>
    <n v="33"/>
    <n v="396000"/>
    <x v="0"/>
  </r>
  <r>
    <s v="P1492"/>
    <x v="3"/>
    <x v="5"/>
    <n v="177"/>
    <n v="123"/>
    <n v="2500"/>
    <n v="54"/>
    <n v="135000"/>
    <x v="0"/>
  </r>
  <r>
    <s v="P1493"/>
    <x v="0"/>
    <x v="8"/>
    <n v="77"/>
    <n v="97"/>
    <n v="2500"/>
    <n v="-20"/>
    <n v="-50000"/>
    <x v="1"/>
  </r>
  <r>
    <s v="P1494"/>
    <x v="5"/>
    <x v="3"/>
    <n v="190"/>
    <n v="16"/>
    <n v="1500"/>
    <n v="174"/>
    <n v="261000"/>
    <x v="0"/>
  </r>
  <r>
    <s v="P1495"/>
    <x v="9"/>
    <x v="0"/>
    <n v="192"/>
    <n v="99"/>
    <n v="500"/>
    <n v="93"/>
    <n v="46500"/>
    <x v="0"/>
  </r>
  <r>
    <s v="P1496"/>
    <x v="7"/>
    <x v="4"/>
    <n v="126"/>
    <n v="24"/>
    <n v="800"/>
    <n v="102"/>
    <n v="81600"/>
    <x v="0"/>
  </r>
  <r>
    <s v="P1497"/>
    <x v="7"/>
    <x v="4"/>
    <n v="146"/>
    <n v="65"/>
    <n v="800"/>
    <n v="81"/>
    <n v="64800"/>
    <x v="0"/>
  </r>
  <r>
    <s v="P1498"/>
    <x v="6"/>
    <x v="4"/>
    <n v="45"/>
    <n v="145"/>
    <n v="2500"/>
    <n v="-100"/>
    <n v="-250000"/>
    <x v="1"/>
  </r>
  <r>
    <s v="P1499"/>
    <x v="6"/>
    <x v="8"/>
    <n v="77"/>
    <n v="80"/>
    <n v="500"/>
    <n v="-3"/>
    <n v="-1500"/>
    <x v="1"/>
  </r>
  <r>
    <s v="P1500"/>
    <x v="9"/>
    <x v="6"/>
    <n v="86"/>
    <n v="39"/>
    <n v="8000"/>
    <n v="47"/>
    <n v="376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C14840-4C6F-429F-9F16-7D6A50772F70}"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E12" firstHeaderRow="1" firstDataRow="1" firstDataCol="1"/>
  <pivotFields count="9">
    <pivotField showAll="0"/>
    <pivotField showAll="0">
      <items count="11">
        <item x="8"/>
        <item x="0"/>
        <item x="4"/>
        <item x="6"/>
        <item x="3"/>
        <item x="2"/>
        <item x="5"/>
        <item x="9"/>
        <item x="7"/>
        <item x="1"/>
        <item t="default"/>
      </items>
    </pivotField>
    <pivotField axis="axisRow" showAll="0">
      <items count="11">
        <item x="3"/>
        <item x="9"/>
        <item x="6"/>
        <item x="2"/>
        <item x="5"/>
        <item x="4"/>
        <item x="8"/>
        <item x="0"/>
        <item x="7"/>
        <item x="1"/>
        <item t="default"/>
      </items>
    </pivotField>
    <pivotField showAll="0"/>
    <pivotField showAll="0"/>
    <pivotField showAll="0"/>
    <pivotField showAll="0"/>
    <pivotField dataField="1" showAll="0"/>
    <pivotField showAll="0"/>
  </pivotFields>
  <rowFields count="1">
    <field x="2"/>
  </rowFields>
  <rowItems count="11">
    <i>
      <x/>
    </i>
    <i>
      <x v="1"/>
    </i>
    <i>
      <x v="2"/>
    </i>
    <i>
      <x v="3"/>
    </i>
    <i>
      <x v="4"/>
    </i>
    <i>
      <x v="5"/>
    </i>
    <i>
      <x v="6"/>
    </i>
    <i>
      <x v="7"/>
    </i>
    <i>
      <x v="8"/>
    </i>
    <i>
      <x v="9"/>
    </i>
    <i t="grand">
      <x/>
    </i>
  </rowItems>
  <colItems count="1">
    <i/>
  </colItems>
  <dataFields count="1">
    <dataField name="Sum of Stock Value" fld="7" baseField="0" baseItem="0"/>
  </dataFields>
  <formats count="1">
    <format dxfId="2">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7551C1-E509-49A9-94E2-3008D8F7C315}"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2" firstHeaderRow="1" firstDataRow="1" firstDataCol="1"/>
  <pivotFields count="9">
    <pivotField showAll="0"/>
    <pivotField axis="axisRow" showAll="0">
      <items count="11">
        <item x="8"/>
        <item x="0"/>
        <item x="4"/>
        <item x="6"/>
        <item x="3"/>
        <item x="2"/>
        <item x="5"/>
        <item x="9"/>
        <item x="7"/>
        <item x="1"/>
        <item t="default"/>
      </items>
    </pivotField>
    <pivotField showAll="0"/>
    <pivotField showAll="0"/>
    <pivotField showAll="0"/>
    <pivotField showAll="0"/>
    <pivotField dataField="1" showAll="0"/>
    <pivotField showAll="0"/>
    <pivotField showAll="0">
      <items count="3">
        <item x="1"/>
        <item x="0"/>
        <item t="default"/>
      </items>
    </pivotField>
  </pivotFields>
  <rowFields count="1">
    <field x="1"/>
  </rowFields>
  <rowItems count="11">
    <i>
      <x/>
    </i>
    <i>
      <x v="1"/>
    </i>
    <i>
      <x v="2"/>
    </i>
    <i>
      <x v="3"/>
    </i>
    <i>
      <x v="4"/>
    </i>
    <i>
      <x v="5"/>
    </i>
    <i>
      <x v="6"/>
    </i>
    <i>
      <x v="7"/>
    </i>
    <i>
      <x v="8"/>
    </i>
    <i>
      <x v="9"/>
    </i>
    <i t="grand">
      <x/>
    </i>
  </rowItems>
  <colItems count="1">
    <i/>
  </colItems>
  <dataFields count="1">
    <dataField name="Total Current Stock" fld="6" baseField="1" baseItem="0"/>
  </dataFields>
  <formats count="11">
    <format dxfId="3">
      <pivotArea collapsedLevelsAreSubtotals="1" fieldPosition="0">
        <references count="1">
          <reference field="1" count="1">
            <x v="2"/>
          </reference>
        </references>
      </pivotArea>
    </format>
    <format dxfId="4">
      <pivotArea collapsedLevelsAreSubtotals="1" fieldPosition="0">
        <references count="1">
          <reference field="1" count="1">
            <x v="0"/>
          </reference>
        </references>
      </pivotArea>
    </format>
    <format dxfId="5">
      <pivotArea collapsedLevelsAreSubtotals="1" fieldPosition="0">
        <references count="1">
          <reference field="1" count="1">
            <x v="1"/>
          </reference>
        </references>
      </pivotArea>
    </format>
    <format dxfId="6">
      <pivotArea collapsedLevelsAreSubtotals="1" fieldPosition="0">
        <references count="1">
          <reference field="1" count="1">
            <x v="3"/>
          </reference>
        </references>
      </pivotArea>
    </format>
    <format dxfId="7">
      <pivotArea collapsedLevelsAreSubtotals="1" fieldPosition="0">
        <references count="1">
          <reference field="1" count="1">
            <x v="4"/>
          </reference>
        </references>
      </pivotArea>
    </format>
    <format dxfId="8">
      <pivotArea collapsedLevelsAreSubtotals="1" fieldPosition="0">
        <references count="1">
          <reference field="1" count="1">
            <x v="5"/>
          </reference>
        </references>
      </pivotArea>
    </format>
    <format dxfId="9">
      <pivotArea collapsedLevelsAreSubtotals="1" fieldPosition="0">
        <references count="1">
          <reference field="1" count="1">
            <x v="6"/>
          </reference>
        </references>
      </pivotArea>
    </format>
    <format dxfId="10">
      <pivotArea collapsedLevelsAreSubtotals="1" fieldPosition="0">
        <references count="1">
          <reference field="1" count="1">
            <x v="7"/>
          </reference>
        </references>
      </pivotArea>
    </format>
    <format dxfId="11">
      <pivotArea collapsedLevelsAreSubtotals="1" fieldPosition="0">
        <references count="1">
          <reference field="1" count="1">
            <x v="8"/>
          </reference>
        </references>
      </pivotArea>
    </format>
    <format dxfId="12">
      <pivotArea collapsedLevelsAreSubtotals="1" fieldPosition="0">
        <references count="1">
          <reference field="1" count="1">
            <x v="9"/>
          </reference>
        </references>
      </pivotArea>
    </format>
    <format dxfId="13">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1024909-C62D-4869-9555-46478F298773}" sourceName="Product Name">
  <pivotTables>
    <pivotTable tabId="7" name="PivotTable8"/>
  </pivotTables>
  <data>
    <tabular pivotCacheId="175081308">
      <items count="10">
        <i x="8" s="1"/>
        <i x="0" s="1"/>
        <i x="4" s="1"/>
        <i x="6" s="1"/>
        <i x="3" s="1"/>
        <i x="2" s="1"/>
        <i x="5" s="1"/>
        <i x="9" s="1"/>
        <i x="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4C6C6F41-222D-4D30-9A12-8ACC0C710A18}" sourceName="Supplier">
  <pivotTables>
    <pivotTable tabId="7" name="PivotTable8"/>
  </pivotTables>
  <data>
    <tabular pivotCacheId="175081308">
      <items count="10">
        <i x="3" s="1"/>
        <i x="9" s="1"/>
        <i x="6" s="1"/>
        <i x="2" s="1"/>
        <i x="5" s="1"/>
        <i x="4" s="1"/>
        <i x="8" s="1"/>
        <i x="0" s="1"/>
        <i x="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22D0D0A6-8DBF-439E-8E2B-1D83FDAFBAA7}" cache="Slicer_Product_Name" caption="Product Name" rowHeight="241300"/>
  <slicer name="Supplier" xr10:uid="{B226202D-4E56-464B-A771-B006F5F67D0D}" cache="Slicer_Supplier" caption="Supplier" startItem="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33296E-EF23-40CE-B75E-B4C2C96BC8A2}" name="Table2" displayName="Table2" ref="A3:I47" totalsRowShown="0">
  <autoFilter ref="A3:I47" xr:uid="{AF33296E-EF23-40CE-B75E-B4C2C96BC8A2}"/>
  <tableColumns count="9">
    <tableColumn id="1" xr3:uid="{3F47B7AC-6707-4EC0-85B0-D9020ECF22FD}" name="Product ID"/>
    <tableColumn id="2" xr3:uid="{4C10BB2F-A92E-4F16-9F93-41F140501229}" name="Product Name"/>
    <tableColumn id="3" xr3:uid="{5368CE09-F4F1-416E-AAF2-DFD3D5ACCC0B}" name="Supplier"/>
    <tableColumn id="4" xr3:uid="{FA0BDA0F-99A1-40FB-9694-906895C1324D}" name="Stock In"/>
    <tableColumn id="5" xr3:uid="{0B3E4181-12A0-4388-BA66-B69E842D2834}" name="Stock Out"/>
    <tableColumn id="6" xr3:uid="{7FA99A35-3245-4DD9-8D37-BC0B8C3761BE}" name="Unit Price"/>
    <tableColumn id="7" xr3:uid="{30523EE8-F36B-45BF-A414-EE5DDD2A3CE8}" name="Current Stock"/>
    <tableColumn id="8" xr3:uid="{7C114BDC-2FD5-4966-9D17-07E5BF48515F}" name="Stock Value"/>
    <tableColumn id="9" xr3:uid="{5731D8BD-6BEB-4972-AD55-2026DE8706AE}" name="Stock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E34BAB-6F98-416F-93D0-55152C0C5972}" name="Table3" displayName="Table3" ref="A3:I54" totalsRowShown="0">
  <autoFilter ref="A3:I54" xr:uid="{97E34BAB-6F98-416F-93D0-55152C0C5972}"/>
  <tableColumns count="9">
    <tableColumn id="1" xr3:uid="{4C7306F7-8685-40C4-9E2D-491DC8A18143}" name="Product ID"/>
    <tableColumn id="2" xr3:uid="{052D3C59-BE65-474B-B176-1A912459ECB4}" name="Product Name"/>
    <tableColumn id="3" xr3:uid="{6BDC0500-6B29-434B-8E9E-CD16F2945B96}" name="Supplier"/>
    <tableColumn id="4" xr3:uid="{63157DC7-EEF3-451E-91C8-369AFA73EE33}" name="Stock In"/>
    <tableColumn id="5" xr3:uid="{E5D8B165-FD5F-4491-B206-80E199AEA2AB}" name="Stock Out"/>
    <tableColumn id="6" xr3:uid="{DC83FB1D-5EC4-4756-B256-65FB03A044FB}" name="Unit Price"/>
    <tableColumn id="7" xr3:uid="{B73B8429-534C-4190-9E10-7B668DC929FB}" name="Current Stock"/>
    <tableColumn id="8" xr3:uid="{6E5B9027-DA3C-49CE-9FDD-F0377626B84F}" name="Stock Value"/>
    <tableColumn id="9" xr3:uid="{7DF7991D-6088-4593-B029-AD73B25D14D8}" name="Stock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2CD03-32BF-4601-B927-59606CB25308}">
  <dimension ref="A1:H501"/>
  <sheetViews>
    <sheetView workbookViewId="0">
      <selection activeCell="D1" sqref="D1:D1048576"/>
    </sheetView>
  </sheetViews>
  <sheetFormatPr defaultRowHeight="15" x14ac:dyDescent="0.25"/>
  <cols>
    <col min="1" max="1" width="10.140625" bestFit="1" customWidth="1"/>
    <col min="2" max="2" width="13.7109375" bestFit="1" customWidth="1"/>
    <col min="3" max="3" width="11.28515625" customWidth="1"/>
    <col min="4" max="4" width="13.85546875" customWidth="1"/>
    <col min="6" max="6" width="9.42578125" bestFit="1" customWidth="1"/>
    <col min="7" max="7" width="10.28515625" customWidth="1"/>
    <col min="8" max="8" width="10.42578125" bestFit="1" customWidth="1"/>
  </cols>
  <sheetData>
    <row r="1" spans="1:8" ht="25.5" customHeight="1" x14ac:dyDescent="0.25">
      <c r="A1" t="s">
        <v>0</v>
      </c>
      <c r="B1" t="s">
        <v>1</v>
      </c>
      <c r="C1" t="s">
        <v>2</v>
      </c>
      <c r="D1" t="s">
        <v>3</v>
      </c>
      <c r="E1" t="s">
        <v>4</v>
      </c>
      <c r="F1" t="s">
        <v>5</v>
      </c>
      <c r="G1" t="s">
        <v>6</v>
      </c>
      <c r="H1" t="s">
        <v>7</v>
      </c>
    </row>
    <row r="2" spans="1:8" x14ac:dyDescent="0.25">
      <c r="A2" t="s">
        <v>22</v>
      </c>
      <c r="B2" t="s">
        <v>13</v>
      </c>
      <c r="C2" t="s">
        <v>9</v>
      </c>
      <c r="D2" t="s">
        <v>16</v>
      </c>
      <c r="E2">
        <v>184</v>
      </c>
      <c r="F2">
        <v>14</v>
      </c>
      <c r="G2">
        <v>500</v>
      </c>
      <c r="H2" t="s">
        <v>23</v>
      </c>
    </row>
    <row r="3" spans="1:8" x14ac:dyDescent="0.25">
      <c r="A3" t="s">
        <v>24</v>
      </c>
      <c r="B3" t="s">
        <v>25</v>
      </c>
      <c r="C3" t="s">
        <v>9</v>
      </c>
      <c r="D3" t="s">
        <v>26</v>
      </c>
      <c r="E3">
        <v>47</v>
      </c>
      <c r="F3">
        <v>76</v>
      </c>
      <c r="G3">
        <v>2500</v>
      </c>
      <c r="H3" t="s">
        <v>27</v>
      </c>
    </row>
    <row r="4" spans="1:8" x14ac:dyDescent="0.25">
      <c r="A4" t="s">
        <v>28</v>
      </c>
      <c r="B4" t="s">
        <v>17</v>
      </c>
      <c r="C4" t="s">
        <v>9</v>
      </c>
      <c r="D4" t="s">
        <v>10</v>
      </c>
      <c r="E4">
        <v>64</v>
      </c>
      <c r="F4">
        <v>82</v>
      </c>
      <c r="G4">
        <v>55000</v>
      </c>
      <c r="H4" t="s">
        <v>29</v>
      </c>
    </row>
    <row r="5" spans="1:8" x14ac:dyDescent="0.25">
      <c r="A5" t="s">
        <v>30</v>
      </c>
      <c r="B5" t="s">
        <v>11</v>
      </c>
      <c r="C5" t="s">
        <v>9</v>
      </c>
      <c r="D5" t="s">
        <v>31</v>
      </c>
      <c r="E5">
        <v>53</v>
      </c>
      <c r="F5">
        <v>133</v>
      </c>
      <c r="G5">
        <v>2500</v>
      </c>
      <c r="H5" t="s">
        <v>32</v>
      </c>
    </row>
    <row r="6" spans="1:8" x14ac:dyDescent="0.25">
      <c r="A6" t="s">
        <v>33</v>
      </c>
      <c r="B6" t="s">
        <v>13</v>
      </c>
      <c r="C6" t="s">
        <v>9</v>
      </c>
      <c r="D6" t="s">
        <v>34</v>
      </c>
      <c r="E6">
        <v>197</v>
      </c>
      <c r="F6">
        <v>22</v>
      </c>
      <c r="G6">
        <v>5000</v>
      </c>
      <c r="H6" t="s">
        <v>35</v>
      </c>
    </row>
    <row r="7" spans="1:8" x14ac:dyDescent="0.25">
      <c r="A7" t="s">
        <v>36</v>
      </c>
      <c r="B7" t="s">
        <v>8</v>
      </c>
      <c r="C7" t="s">
        <v>9</v>
      </c>
      <c r="D7" t="s">
        <v>14</v>
      </c>
      <c r="E7">
        <v>86</v>
      </c>
      <c r="F7">
        <v>81</v>
      </c>
      <c r="G7">
        <v>30000</v>
      </c>
      <c r="H7" t="s">
        <v>37</v>
      </c>
    </row>
    <row r="8" spans="1:8" x14ac:dyDescent="0.25">
      <c r="A8" t="s">
        <v>38</v>
      </c>
      <c r="B8" t="s">
        <v>39</v>
      </c>
      <c r="C8" t="s">
        <v>9</v>
      </c>
      <c r="D8" t="s">
        <v>31</v>
      </c>
      <c r="E8">
        <v>102</v>
      </c>
      <c r="F8">
        <v>69</v>
      </c>
      <c r="G8">
        <v>30000</v>
      </c>
      <c r="H8" t="s">
        <v>40</v>
      </c>
    </row>
    <row r="9" spans="1:8" x14ac:dyDescent="0.25">
      <c r="A9" t="s">
        <v>41</v>
      </c>
      <c r="B9" t="s">
        <v>39</v>
      </c>
      <c r="C9" t="s">
        <v>9</v>
      </c>
      <c r="D9" t="s">
        <v>18</v>
      </c>
      <c r="E9">
        <v>103</v>
      </c>
      <c r="F9">
        <v>18</v>
      </c>
      <c r="G9">
        <v>1500</v>
      </c>
      <c r="H9" t="s">
        <v>42</v>
      </c>
    </row>
    <row r="10" spans="1:8" x14ac:dyDescent="0.25">
      <c r="A10" t="s">
        <v>43</v>
      </c>
      <c r="B10" t="s">
        <v>15</v>
      </c>
      <c r="C10" t="s">
        <v>9</v>
      </c>
      <c r="D10" t="s">
        <v>31</v>
      </c>
      <c r="E10">
        <v>98</v>
      </c>
      <c r="F10">
        <v>149</v>
      </c>
      <c r="G10">
        <v>30000</v>
      </c>
      <c r="H10" t="s">
        <v>44</v>
      </c>
    </row>
    <row r="11" spans="1:8" x14ac:dyDescent="0.25">
      <c r="A11" t="s">
        <v>45</v>
      </c>
      <c r="B11" t="s">
        <v>25</v>
      </c>
      <c r="C11" t="s">
        <v>9</v>
      </c>
      <c r="D11" t="s">
        <v>46</v>
      </c>
      <c r="E11">
        <v>131</v>
      </c>
      <c r="F11">
        <v>5</v>
      </c>
      <c r="G11">
        <v>2500</v>
      </c>
      <c r="H11" t="s">
        <v>47</v>
      </c>
    </row>
    <row r="12" spans="1:8" x14ac:dyDescent="0.25">
      <c r="A12" t="s">
        <v>48</v>
      </c>
      <c r="B12" t="s">
        <v>49</v>
      </c>
      <c r="C12" t="s">
        <v>9</v>
      </c>
      <c r="D12" t="s">
        <v>26</v>
      </c>
      <c r="E12">
        <v>84</v>
      </c>
      <c r="F12">
        <v>48</v>
      </c>
      <c r="G12">
        <v>30000</v>
      </c>
      <c r="H12" t="s">
        <v>50</v>
      </c>
    </row>
    <row r="13" spans="1:8" x14ac:dyDescent="0.25">
      <c r="A13" t="s">
        <v>51</v>
      </c>
      <c r="B13" t="s">
        <v>52</v>
      </c>
      <c r="C13" t="s">
        <v>9</v>
      </c>
      <c r="D13" t="s">
        <v>12</v>
      </c>
      <c r="E13">
        <v>97</v>
      </c>
      <c r="F13">
        <v>10</v>
      </c>
      <c r="G13">
        <v>2500</v>
      </c>
      <c r="H13" t="s">
        <v>53</v>
      </c>
    </row>
    <row r="14" spans="1:8" x14ac:dyDescent="0.25">
      <c r="A14" t="s">
        <v>54</v>
      </c>
      <c r="B14" t="s">
        <v>15</v>
      </c>
      <c r="C14" t="s">
        <v>9</v>
      </c>
      <c r="D14" t="s">
        <v>12</v>
      </c>
      <c r="E14">
        <v>160</v>
      </c>
      <c r="F14">
        <v>15</v>
      </c>
      <c r="G14">
        <v>1500</v>
      </c>
      <c r="H14" t="s">
        <v>55</v>
      </c>
    </row>
    <row r="15" spans="1:8" x14ac:dyDescent="0.25">
      <c r="A15" t="s">
        <v>56</v>
      </c>
      <c r="B15" t="s">
        <v>25</v>
      </c>
      <c r="C15" t="s">
        <v>9</v>
      </c>
      <c r="D15" t="s">
        <v>26</v>
      </c>
      <c r="E15">
        <v>127</v>
      </c>
      <c r="F15">
        <v>85</v>
      </c>
      <c r="G15">
        <v>1200</v>
      </c>
      <c r="H15" t="s">
        <v>57</v>
      </c>
    </row>
    <row r="16" spans="1:8" x14ac:dyDescent="0.25">
      <c r="A16" t="s">
        <v>58</v>
      </c>
      <c r="B16" t="s">
        <v>49</v>
      </c>
      <c r="C16" t="s">
        <v>9</v>
      </c>
      <c r="D16" t="s">
        <v>26</v>
      </c>
      <c r="E16">
        <v>112</v>
      </c>
      <c r="F16">
        <v>90</v>
      </c>
      <c r="G16">
        <v>5000</v>
      </c>
      <c r="H16" t="s">
        <v>59</v>
      </c>
    </row>
    <row r="17" spans="1:8" x14ac:dyDescent="0.25">
      <c r="A17" t="s">
        <v>60</v>
      </c>
      <c r="B17" t="s">
        <v>13</v>
      </c>
      <c r="C17" t="s">
        <v>9</v>
      </c>
      <c r="D17" t="s">
        <v>12</v>
      </c>
      <c r="E17">
        <v>31</v>
      </c>
      <c r="F17">
        <v>58</v>
      </c>
      <c r="G17">
        <v>2500</v>
      </c>
      <c r="H17" t="s">
        <v>61</v>
      </c>
    </row>
    <row r="18" spans="1:8" x14ac:dyDescent="0.25">
      <c r="A18" t="s">
        <v>62</v>
      </c>
      <c r="B18" t="s">
        <v>49</v>
      </c>
      <c r="C18" t="s">
        <v>9</v>
      </c>
      <c r="D18" t="s">
        <v>34</v>
      </c>
      <c r="E18">
        <v>162</v>
      </c>
      <c r="F18">
        <v>105</v>
      </c>
      <c r="G18">
        <v>500</v>
      </c>
      <c r="H18" t="s">
        <v>63</v>
      </c>
    </row>
    <row r="19" spans="1:8" x14ac:dyDescent="0.25">
      <c r="A19" t="s">
        <v>64</v>
      </c>
      <c r="B19" t="s">
        <v>11</v>
      </c>
      <c r="C19" t="s">
        <v>9</v>
      </c>
      <c r="D19" t="s">
        <v>34</v>
      </c>
      <c r="E19">
        <v>28</v>
      </c>
      <c r="F19">
        <v>29</v>
      </c>
      <c r="G19">
        <v>800</v>
      </c>
      <c r="H19" t="s">
        <v>65</v>
      </c>
    </row>
    <row r="20" spans="1:8" x14ac:dyDescent="0.25">
      <c r="A20" t="s">
        <v>66</v>
      </c>
      <c r="B20" t="s">
        <v>8</v>
      </c>
      <c r="C20" t="s">
        <v>9</v>
      </c>
      <c r="D20" t="s">
        <v>31</v>
      </c>
      <c r="E20">
        <v>168</v>
      </c>
      <c r="F20">
        <v>77</v>
      </c>
      <c r="G20">
        <v>2500</v>
      </c>
      <c r="H20" t="s">
        <v>67</v>
      </c>
    </row>
    <row r="21" spans="1:8" x14ac:dyDescent="0.25">
      <c r="A21" t="s">
        <v>68</v>
      </c>
      <c r="B21" t="s">
        <v>39</v>
      </c>
      <c r="C21" t="s">
        <v>9</v>
      </c>
      <c r="D21" t="s">
        <v>26</v>
      </c>
      <c r="E21">
        <v>185</v>
      </c>
      <c r="F21">
        <v>117</v>
      </c>
      <c r="G21">
        <v>800</v>
      </c>
      <c r="H21" t="s">
        <v>69</v>
      </c>
    </row>
    <row r="22" spans="1:8" x14ac:dyDescent="0.25">
      <c r="A22" t="s">
        <v>70</v>
      </c>
      <c r="B22" t="s">
        <v>17</v>
      </c>
      <c r="C22" t="s">
        <v>9</v>
      </c>
      <c r="D22" t="s">
        <v>14</v>
      </c>
      <c r="E22">
        <v>138</v>
      </c>
      <c r="F22">
        <v>83</v>
      </c>
      <c r="G22">
        <v>500</v>
      </c>
      <c r="H22" t="s">
        <v>29</v>
      </c>
    </row>
    <row r="23" spans="1:8" x14ac:dyDescent="0.25">
      <c r="A23" t="s">
        <v>71</v>
      </c>
      <c r="B23" t="s">
        <v>49</v>
      </c>
      <c r="C23" t="s">
        <v>9</v>
      </c>
      <c r="D23" t="s">
        <v>46</v>
      </c>
      <c r="E23">
        <v>44</v>
      </c>
      <c r="F23">
        <v>84</v>
      </c>
      <c r="G23">
        <v>5000</v>
      </c>
      <c r="H23" t="s">
        <v>72</v>
      </c>
    </row>
    <row r="24" spans="1:8" x14ac:dyDescent="0.25">
      <c r="A24" t="s">
        <v>73</v>
      </c>
      <c r="B24" t="s">
        <v>17</v>
      </c>
      <c r="C24" t="s">
        <v>9</v>
      </c>
      <c r="D24" t="s">
        <v>74</v>
      </c>
      <c r="E24">
        <v>122</v>
      </c>
      <c r="F24">
        <v>83</v>
      </c>
      <c r="G24">
        <v>30000</v>
      </c>
      <c r="H24" t="s">
        <v>75</v>
      </c>
    </row>
    <row r="25" spans="1:8" x14ac:dyDescent="0.25">
      <c r="A25" t="s">
        <v>76</v>
      </c>
      <c r="B25" t="s">
        <v>11</v>
      </c>
      <c r="C25" t="s">
        <v>9</v>
      </c>
      <c r="D25" t="s">
        <v>12</v>
      </c>
      <c r="E25">
        <v>25</v>
      </c>
      <c r="F25">
        <v>89</v>
      </c>
      <c r="G25">
        <v>1200</v>
      </c>
      <c r="H25" t="s">
        <v>77</v>
      </c>
    </row>
    <row r="26" spans="1:8" x14ac:dyDescent="0.25">
      <c r="A26" t="s">
        <v>78</v>
      </c>
      <c r="B26" t="s">
        <v>17</v>
      </c>
      <c r="C26" t="s">
        <v>9</v>
      </c>
      <c r="D26" t="s">
        <v>34</v>
      </c>
      <c r="E26">
        <v>32</v>
      </c>
      <c r="F26">
        <v>70</v>
      </c>
      <c r="G26">
        <v>55000</v>
      </c>
      <c r="H26" t="s">
        <v>79</v>
      </c>
    </row>
    <row r="27" spans="1:8" x14ac:dyDescent="0.25">
      <c r="A27" t="s">
        <v>80</v>
      </c>
      <c r="B27" t="s">
        <v>52</v>
      </c>
      <c r="C27" t="s">
        <v>9</v>
      </c>
      <c r="D27" t="s">
        <v>34</v>
      </c>
      <c r="E27">
        <v>173</v>
      </c>
      <c r="F27">
        <v>33</v>
      </c>
      <c r="G27">
        <v>5000</v>
      </c>
      <c r="H27" t="s">
        <v>81</v>
      </c>
    </row>
    <row r="28" spans="1:8" x14ac:dyDescent="0.25">
      <c r="A28" t="s">
        <v>82</v>
      </c>
      <c r="B28" t="s">
        <v>52</v>
      </c>
      <c r="C28" t="s">
        <v>9</v>
      </c>
      <c r="D28" t="s">
        <v>46</v>
      </c>
      <c r="E28">
        <v>170</v>
      </c>
      <c r="F28">
        <v>110</v>
      </c>
      <c r="G28">
        <v>1500</v>
      </c>
      <c r="H28" t="s">
        <v>37</v>
      </c>
    </row>
    <row r="29" spans="1:8" x14ac:dyDescent="0.25">
      <c r="A29" t="s">
        <v>83</v>
      </c>
      <c r="B29" t="s">
        <v>39</v>
      </c>
      <c r="C29" t="s">
        <v>9</v>
      </c>
      <c r="D29" t="s">
        <v>26</v>
      </c>
      <c r="E29">
        <v>72</v>
      </c>
      <c r="F29">
        <v>34</v>
      </c>
      <c r="G29">
        <v>800</v>
      </c>
      <c r="H29" t="s">
        <v>84</v>
      </c>
    </row>
    <row r="30" spans="1:8" x14ac:dyDescent="0.25">
      <c r="A30" t="s">
        <v>85</v>
      </c>
      <c r="B30" t="s">
        <v>11</v>
      </c>
      <c r="C30" t="s">
        <v>9</v>
      </c>
      <c r="D30" t="s">
        <v>31</v>
      </c>
      <c r="E30">
        <v>108</v>
      </c>
      <c r="F30">
        <v>107</v>
      </c>
      <c r="G30">
        <v>800</v>
      </c>
      <c r="H30" t="s">
        <v>86</v>
      </c>
    </row>
    <row r="31" spans="1:8" x14ac:dyDescent="0.25">
      <c r="A31" t="s">
        <v>87</v>
      </c>
      <c r="B31" t="s">
        <v>17</v>
      </c>
      <c r="C31" t="s">
        <v>9</v>
      </c>
      <c r="D31" t="s">
        <v>16</v>
      </c>
      <c r="E31">
        <v>137</v>
      </c>
      <c r="F31">
        <v>109</v>
      </c>
      <c r="G31">
        <v>30000</v>
      </c>
      <c r="H31" t="s">
        <v>88</v>
      </c>
    </row>
    <row r="32" spans="1:8" x14ac:dyDescent="0.25">
      <c r="A32" t="s">
        <v>89</v>
      </c>
      <c r="B32" t="s">
        <v>11</v>
      </c>
      <c r="C32" t="s">
        <v>9</v>
      </c>
      <c r="D32" t="s">
        <v>16</v>
      </c>
      <c r="E32">
        <v>149</v>
      </c>
      <c r="F32">
        <v>104</v>
      </c>
      <c r="G32">
        <v>1200</v>
      </c>
      <c r="H32" t="s">
        <v>90</v>
      </c>
    </row>
    <row r="33" spans="1:8" x14ac:dyDescent="0.25">
      <c r="A33" t="s">
        <v>91</v>
      </c>
      <c r="B33" t="s">
        <v>8</v>
      </c>
      <c r="C33" t="s">
        <v>9</v>
      </c>
      <c r="D33" t="s">
        <v>74</v>
      </c>
      <c r="E33">
        <v>34</v>
      </c>
      <c r="F33">
        <v>129</v>
      </c>
      <c r="G33">
        <v>2500</v>
      </c>
      <c r="H33" t="s">
        <v>92</v>
      </c>
    </row>
    <row r="34" spans="1:8" x14ac:dyDescent="0.25">
      <c r="A34" t="s">
        <v>93</v>
      </c>
      <c r="B34" t="s">
        <v>11</v>
      </c>
      <c r="C34" t="s">
        <v>9</v>
      </c>
      <c r="D34" t="s">
        <v>18</v>
      </c>
      <c r="E34">
        <v>138</v>
      </c>
      <c r="F34">
        <v>48</v>
      </c>
      <c r="G34">
        <v>800</v>
      </c>
      <c r="H34" t="s">
        <v>94</v>
      </c>
    </row>
    <row r="35" spans="1:8" x14ac:dyDescent="0.25">
      <c r="A35" t="s">
        <v>95</v>
      </c>
      <c r="B35" t="s">
        <v>96</v>
      </c>
      <c r="C35" t="s">
        <v>9</v>
      </c>
      <c r="D35" t="s">
        <v>18</v>
      </c>
      <c r="E35">
        <v>39</v>
      </c>
      <c r="F35">
        <v>31</v>
      </c>
      <c r="G35">
        <v>500</v>
      </c>
      <c r="H35" t="s">
        <v>97</v>
      </c>
    </row>
    <row r="36" spans="1:8" x14ac:dyDescent="0.25">
      <c r="A36" t="s">
        <v>98</v>
      </c>
      <c r="B36" t="s">
        <v>96</v>
      </c>
      <c r="C36" t="s">
        <v>9</v>
      </c>
      <c r="D36" t="s">
        <v>34</v>
      </c>
      <c r="E36">
        <v>35</v>
      </c>
      <c r="F36">
        <v>142</v>
      </c>
      <c r="G36">
        <v>2500</v>
      </c>
      <c r="H36" t="s">
        <v>67</v>
      </c>
    </row>
    <row r="37" spans="1:8" x14ac:dyDescent="0.25">
      <c r="A37" t="s">
        <v>99</v>
      </c>
      <c r="B37" t="s">
        <v>17</v>
      </c>
      <c r="C37" t="s">
        <v>9</v>
      </c>
      <c r="D37" t="s">
        <v>16</v>
      </c>
      <c r="E37">
        <v>85</v>
      </c>
      <c r="F37">
        <v>118</v>
      </c>
      <c r="G37">
        <v>1500</v>
      </c>
      <c r="H37" t="s">
        <v>100</v>
      </c>
    </row>
    <row r="38" spans="1:8" x14ac:dyDescent="0.25">
      <c r="A38" t="s">
        <v>101</v>
      </c>
      <c r="B38" t="s">
        <v>49</v>
      </c>
      <c r="C38" t="s">
        <v>9</v>
      </c>
      <c r="D38" t="s">
        <v>34</v>
      </c>
      <c r="E38">
        <v>69</v>
      </c>
      <c r="F38">
        <v>124</v>
      </c>
      <c r="G38">
        <v>12000</v>
      </c>
      <c r="H38" t="s">
        <v>102</v>
      </c>
    </row>
    <row r="39" spans="1:8" x14ac:dyDescent="0.25">
      <c r="A39" t="s">
        <v>103</v>
      </c>
      <c r="B39" t="s">
        <v>49</v>
      </c>
      <c r="C39" t="s">
        <v>9</v>
      </c>
      <c r="D39" t="s">
        <v>14</v>
      </c>
      <c r="E39">
        <v>154</v>
      </c>
      <c r="F39">
        <v>59</v>
      </c>
      <c r="G39">
        <v>2500</v>
      </c>
      <c r="H39" t="s">
        <v>104</v>
      </c>
    </row>
    <row r="40" spans="1:8" x14ac:dyDescent="0.25">
      <c r="A40" t="s">
        <v>105</v>
      </c>
      <c r="B40" t="s">
        <v>15</v>
      </c>
      <c r="C40" t="s">
        <v>9</v>
      </c>
      <c r="D40" t="s">
        <v>74</v>
      </c>
      <c r="E40">
        <v>118</v>
      </c>
      <c r="F40">
        <v>118</v>
      </c>
      <c r="G40">
        <v>500</v>
      </c>
      <c r="H40" t="s">
        <v>106</v>
      </c>
    </row>
    <row r="41" spans="1:8" x14ac:dyDescent="0.25">
      <c r="A41" t="s">
        <v>107</v>
      </c>
      <c r="B41" t="s">
        <v>39</v>
      </c>
      <c r="C41" t="s">
        <v>9</v>
      </c>
      <c r="D41" t="s">
        <v>74</v>
      </c>
      <c r="E41">
        <v>173</v>
      </c>
      <c r="F41">
        <v>142</v>
      </c>
      <c r="G41">
        <v>2500</v>
      </c>
      <c r="H41" t="s">
        <v>108</v>
      </c>
    </row>
    <row r="42" spans="1:8" x14ac:dyDescent="0.25">
      <c r="A42" t="s">
        <v>109</v>
      </c>
      <c r="B42" t="s">
        <v>39</v>
      </c>
      <c r="C42" t="s">
        <v>9</v>
      </c>
      <c r="D42" t="s">
        <v>34</v>
      </c>
      <c r="E42">
        <v>171</v>
      </c>
      <c r="F42">
        <v>5</v>
      </c>
      <c r="G42">
        <v>1200</v>
      </c>
      <c r="H42" t="s">
        <v>110</v>
      </c>
    </row>
    <row r="43" spans="1:8" x14ac:dyDescent="0.25">
      <c r="A43" t="s">
        <v>111</v>
      </c>
      <c r="B43" t="s">
        <v>25</v>
      </c>
      <c r="C43" t="s">
        <v>9</v>
      </c>
      <c r="D43" t="s">
        <v>26</v>
      </c>
      <c r="E43">
        <v>168</v>
      </c>
      <c r="F43">
        <v>29</v>
      </c>
      <c r="G43">
        <v>30000</v>
      </c>
      <c r="H43" t="s">
        <v>112</v>
      </c>
    </row>
    <row r="44" spans="1:8" x14ac:dyDescent="0.25">
      <c r="A44" t="s">
        <v>113</v>
      </c>
      <c r="B44" t="s">
        <v>8</v>
      </c>
      <c r="C44" t="s">
        <v>9</v>
      </c>
      <c r="D44" t="s">
        <v>46</v>
      </c>
      <c r="E44">
        <v>57</v>
      </c>
      <c r="F44">
        <v>146</v>
      </c>
      <c r="G44">
        <v>500</v>
      </c>
      <c r="H44" t="s">
        <v>114</v>
      </c>
    </row>
    <row r="45" spans="1:8" x14ac:dyDescent="0.25">
      <c r="A45" t="s">
        <v>115</v>
      </c>
      <c r="B45" t="s">
        <v>8</v>
      </c>
      <c r="C45" t="s">
        <v>9</v>
      </c>
      <c r="D45" t="s">
        <v>16</v>
      </c>
      <c r="E45">
        <v>195</v>
      </c>
      <c r="F45">
        <v>21</v>
      </c>
      <c r="G45">
        <v>500</v>
      </c>
      <c r="H45" t="s">
        <v>116</v>
      </c>
    </row>
    <row r="46" spans="1:8" x14ac:dyDescent="0.25">
      <c r="A46" t="s">
        <v>117</v>
      </c>
      <c r="B46" t="s">
        <v>49</v>
      </c>
      <c r="C46" t="s">
        <v>9</v>
      </c>
      <c r="D46" t="s">
        <v>12</v>
      </c>
      <c r="E46">
        <v>42</v>
      </c>
      <c r="F46">
        <v>139</v>
      </c>
      <c r="G46">
        <v>8000</v>
      </c>
      <c r="H46" t="s">
        <v>118</v>
      </c>
    </row>
    <row r="47" spans="1:8" x14ac:dyDescent="0.25">
      <c r="A47" t="s">
        <v>119</v>
      </c>
      <c r="B47" t="s">
        <v>15</v>
      </c>
      <c r="C47" t="s">
        <v>9</v>
      </c>
      <c r="D47" t="s">
        <v>46</v>
      </c>
      <c r="E47">
        <v>85</v>
      </c>
      <c r="F47">
        <v>113</v>
      </c>
      <c r="G47">
        <v>1500</v>
      </c>
      <c r="H47" t="s">
        <v>120</v>
      </c>
    </row>
    <row r="48" spans="1:8" x14ac:dyDescent="0.25">
      <c r="A48" t="s">
        <v>121</v>
      </c>
      <c r="B48" t="s">
        <v>25</v>
      </c>
      <c r="C48" t="s">
        <v>9</v>
      </c>
      <c r="D48" t="s">
        <v>31</v>
      </c>
      <c r="E48">
        <v>28</v>
      </c>
      <c r="F48">
        <v>74</v>
      </c>
      <c r="G48">
        <v>55000</v>
      </c>
      <c r="H48" t="s">
        <v>122</v>
      </c>
    </row>
    <row r="49" spans="1:8" x14ac:dyDescent="0.25">
      <c r="A49" t="s">
        <v>123</v>
      </c>
      <c r="B49" t="s">
        <v>49</v>
      </c>
      <c r="C49" t="s">
        <v>9</v>
      </c>
      <c r="D49" t="s">
        <v>14</v>
      </c>
      <c r="E49">
        <v>182</v>
      </c>
      <c r="F49">
        <v>90</v>
      </c>
      <c r="G49">
        <v>30000</v>
      </c>
      <c r="H49" t="s">
        <v>124</v>
      </c>
    </row>
    <row r="50" spans="1:8" x14ac:dyDescent="0.25">
      <c r="A50" t="s">
        <v>125</v>
      </c>
      <c r="B50" t="s">
        <v>96</v>
      </c>
      <c r="C50" t="s">
        <v>9</v>
      </c>
      <c r="D50" t="s">
        <v>34</v>
      </c>
      <c r="E50">
        <v>82</v>
      </c>
      <c r="F50">
        <v>17</v>
      </c>
      <c r="G50">
        <v>1500</v>
      </c>
      <c r="H50" t="s">
        <v>126</v>
      </c>
    </row>
    <row r="51" spans="1:8" x14ac:dyDescent="0.25">
      <c r="A51" t="s">
        <v>127</v>
      </c>
      <c r="B51" t="s">
        <v>25</v>
      </c>
      <c r="C51" t="s">
        <v>9</v>
      </c>
      <c r="D51" t="s">
        <v>18</v>
      </c>
      <c r="E51">
        <v>177</v>
      </c>
      <c r="F51">
        <v>56</v>
      </c>
      <c r="G51">
        <v>30000</v>
      </c>
      <c r="H51" t="s">
        <v>128</v>
      </c>
    </row>
    <row r="52" spans="1:8" x14ac:dyDescent="0.25">
      <c r="A52" t="s">
        <v>129</v>
      </c>
      <c r="B52" t="s">
        <v>15</v>
      </c>
      <c r="C52" t="s">
        <v>9</v>
      </c>
      <c r="D52" t="s">
        <v>31</v>
      </c>
      <c r="E52">
        <v>95</v>
      </c>
      <c r="F52">
        <v>42</v>
      </c>
      <c r="G52">
        <v>12000</v>
      </c>
      <c r="H52" t="s">
        <v>130</v>
      </c>
    </row>
    <row r="53" spans="1:8" x14ac:dyDescent="0.25">
      <c r="A53" t="s">
        <v>131</v>
      </c>
      <c r="B53" t="s">
        <v>15</v>
      </c>
      <c r="C53" t="s">
        <v>9</v>
      </c>
      <c r="D53" t="s">
        <v>26</v>
      </c>
      <c r="E53">
        <v>115</v>
      </c>
      <c r="F53">
        <v>147</v>
      </c>
      <c r="G53">
        <v>1500</v>
      </c>
      <c r="H53" t="s">
        <v>116</v>
      </c>
    </row>
    <row r="54" spans="1:8" x14ac:dyDescent="0.25">
      <c r="A54" t="s">
        <v>132</v>
      </c>
      <c r="B54" t="s">
        <v>17</v>
      </c>
      <c r="C54" t="s">
        <v>9</v>
      </c>
      <c r="D54" t="s">
        <v>18</v>
      </c>
      <c r="E54">
        <v>64</v>
      </c>
      <c r="F54">
        <v>142</v>
      </c>
      <c r="G54">
        <v>500</v>
      </c>
      <c r="H54" t="s">
        <v>133</v>
      </c>
    </row>
    <row r="55" spans="1:8" x14ac:dyDescent="0.25">
      <c r="A55" t="s">
        <v>134</v>
      </c>
      <c r="B55" t="s">
        <v>11</v>
      </c>
      <c r="C55" t="s">
        <v>9</v>
      </c>
      <c r="D55" t="s">
        <v>34</v>
      </c>
      <c r="E55">
        <v>80</v>
      </c>
      <c r="F55">
        <v>87</v>
      </c>
      <c r="G55">
        <v>800</v>
      </c>
      <c r="H55" t="s">
        <v>135</v>
      </c>
    </row>
    <row r="56" spans="1:8" x14ac:dyDescent="0.25">
      <c r="A56" t="s">
        <v>136</v>
      </c>
      <c r="B56" t="s">
        <v>15</v>
      </c>
      <c r="C56" t="s">
        <v>9</v>
      </c>
      <c r="D56" t="s">
        <v>16</v>
      </c>
      <c r="E56">
        <v>97</v>
      </c>
      <c r="F56">
        <v>59</v>
      </c>
      <c r="G56">
        <v>55000</v>
      </c>
      <c r="H56" t="s">
        <v>137</v>
      </c>
    </row>
    <row r="57" spans="1:8" x14ac:dyDescent="0.25">
      <c r="A57" t="s">
        <v>138</v>
      </c>
      <c r="B57" t="s">
        <v>25</v>
      </c>
      <c r="C57" t="s">
        <v>9</v>
      </c>
      <c r="D57" t="s">
        <v>74</v>
      </c>
      <c r="E57">
        <v>174</v>
      </c>
      <c r="F57">
        <v>147</v>
      </c>
      <c r="G57">
        <v>500</v>
      </c>
      <c r="H57" t="s">
        <v>139</v>
      </c>
    </row>
    <row r="58" spans="1:8" x14ac:dyDescent="0.25">
      <c r="A58" t="s">
        <v>140</v>
      </c>
      <c r="B58" t="s">
        <v>13</v>
      </c>
      <c r="C58" t="s">
        <v>9</v>
      </c>
      <c r="D58" t="s">
        <v>12</v>
      </c>
      <c r="E58">
        <v>108</v>
      </c>
      <c r="F58">
        <v>93</v>
      </c>
      <c r="G58">
        <v>1200</v>
      </c>
      <c r="H58" t="s">
        <v>133</v>
      </c>
    </row>
    <row r="59" spans="1:8" x14ac:dyDescent="0.25">
      <c r="A59" t="s">
        <v>141</v>
      </c>
      <c r="B59" t="s">
        <v>8</v>
      </c>
      <c r="C59" t="s">
        <v>9</v>
      </c>
      <c r="D59" t="s">
        <v>46</v>
      </c>
      <c r="E59">
        <v>151</v>
      </c>
      <c r="F59">
        <v>62</v>
      </c>
      <c r="G59">
        <v>55000</v>
      </c>
      <c r="H59" t="s">
        <v>90</v>
      </c>
    </row>
    <row r="60" spans="1:8" x14ac:dyDescent="0.25">
      <c r="A60" t="s">
        <v>142</v>
      </c>
      <c r="B60" t="s">
        <v>49</v>
      </c>
      <c r="C60" t="s">
        <v>9</v>
      </c>
      <c r="D60" t="s">
        <v>12</v>
      </c>
      <c r="E60">
        <v>189</v>
      </c>
      <c r="F60">
        <v>31</v>
      </c>
      <c r="G60">
        <v>55000</v>
      </c>
      <c r="H60" t="s">
        <v>143</v>
      </c>
    </row>
    <row r="61" spans="1:8" x14ac:dyDescent="0.25">
      <c r="A61" t="s">
        <v>144</v>
      </c>
      <c r="B61" t="s">
        <v>13</v>
      </c>
      <c r="C61" t="s">
        <v>9</v>
      </c>
      <c r="D61" t="s">
        <v>16</v>
      </c>
      <c r="E61">
        <v>154</v>
      </c>
      <c r="F61">
        <v>38</v>
      </c>
      <c r="G61">
        <v>5000</v>
      </c>
      <c r="H61" t="s">
        <v>145</v>
      </c>
    </row>
    <row r="62" spans="1:8" x14ac:dyDescent="0.25">
      <c r="A62" t="s">
        <v>146</v>
      </c>
      <c r="B62" t="s">
        <v>49</v>
      </c>
      <c r="C62" t="s">
        <v>9</v>
      </c>
      <c r="D62" t="s">
        <v>10</v>
      </c>
      <c r="E62">
        <v>121</v>
      </c>
      <c r="F62">
        <v>0</v>
      </c>
      <c r="G62">
        <v>2500</v>
      </c>
      <c r="H62" t="s">
        <v>147</v>
      </c>
    </row>
    <row r="63" spans="1:8" x14ac:dyDescent="0.25">
      <c r="A63" t="s">
        <v>148</v>
      </c>
      <c r="B63" t="s">
        <v>52</v>
      </c>
      <c r="C63" t="s">
        <v>9</v>
      </c>
      <c r="D63" t="s">
        <v>34</v>
      </c>
      <c r="E63">
        <v>136</v>
      </c>
      <c r="F63">
        <v>15</v>
      </c>
      <c r="G63">
        <v>800</v>
      </c>
      <c r="H63" t="s">
        <v>149</v>
      </c>
    </row>
    <row r="64" spans="1:8" x14ac:dyDescent="0.25">
      <c r="A64" t="s">
        <v>150</v>
      </c>
      <c r="B64" t="s">
        <v>17</v>
      </c>
      <c r="C64" t="s">
        <v>9</v>
      </c>
      <c r="D64" t="s">
        <v>10</v>
      </c>
      <c r="E64">
        <v>195</v>
      </c>
      <c r="F64">
        <v>109</v>
      </c>
      <c r="G64">
        <v>800</v>
      </c>
      <c r="H64" t="s">
        <v>151</v>
      </c>
    </row>
    <row r="65" spans="1:8" x14ac:dyDescent="0.25">
      <c r="A65" t="s">
        <v>152</v>
      </c>
      <c r="B65" t="s">
        <v>13</v>
      </c>
      <c r="C65" t="s">
        <v>9</v>
      </c>
      <c r="D65" t="s">
        <v>34</v>
      </c>
      <c r="E65">
        <v>74</v>
      </c>
      <c r="F65">
        <v>85</v>
      </c>
      <c r="G65">
        <v>8000</v>
      </c>
      <c r="H65" t="s">
        <v>153</v>
      </c>
    </row>
    <row r="66" spans="1:8" x14ac:dyDescent="0.25">
      <c r="A66" t="s">
        <v>154</v>
      </c>
      <c r="B66" t="s">
        <v>11</v>
      </c>
      <c r="C66" t="s">
        <v>9</v>
      </c>
      <c r="D66" t="s">
        <v>12</v>
      </c>
      <c r="E66">
        <v>87</v>
      </c>
      <c r="F66">
        <v>47</v>
      </c>
      <c r="G66">
        <v>1200</v>
      </c>
      <c r="H66" t="s">
        <v>155</v>
      </c>
    </row>
    <row r="67" spans="1:8" x14ac:dyDescent="0.25">
      <c r="A67" t="s">
        <v>156</v>
      </c>
      <c r="B67" t="s">
        <v>8</v>
      </c>
      <c r="C67" t="s">
        <v>9</v>
      </c>
      <c r="D67" t="s">
        <v>46</v>
      </c>
      <c r="E67">
        <v>49</v>
      </c>
      <c r="F67">
        <v>44</v>
      </c>
      <c r="G67">
        <v>5000</v>
      </c>
      <c r="H67" t="s">
        <v>157</v>
      </c>
    </row>
    <row r="68" spans="1:8" x14ac:dyDescent="0.25">
      <c r="A68" t="s">
        <v>158</v>
      </c>
      <c r="B68" t="s">
        <v>52</v>
      </c>
      <c r="C68" t="s">
        <v>9</v>
      </c>
      <c r="D68" t="s">
        <v>16</v>
      </c>
      <c r="E68">
        <v>125</v>
      </c>
      <c r="F68">
        <v>53</v>
      </c>
      <c r="G68">
        <v>1200</v>
      </c>
      <c r="H68" t="s">
        <v>159</v>
      </c>
    </row>
    <row r="69" spans="1:8" x14ac:dyDescent="0.25">
      <c r="A69" t="s">
        <v>160</v>
      </c>
      <c r="B69" t="s">
        <v>11</v>
      </c>
      <c r="C69" t="s">
        <v>9</v>
      </c>
      <c r="D69" t="s">
        <v>10</v>
      </c>
      <c r="E69">
        <v>109</v>
      </c>
      <c r="F69">
        <v>101</v>
      </c>
      <c r="G69">
        <v>12000</v>
      </c>
      <c r="H69" t="s">
        <v>161</v>
      </c>
    </row>
    <row r="70" spans="1:8" x14ac:dyDescent="0.25">
      <c r="A70" t="s">
        <v>162</v>
      </c>
      <c r="B70" t="s">
        <v>49</v>
      </c>
      <c r="C70" t="s">
        <v>9</v>
      </c>
      <c r="D70" t="s">
        <v>74</v>
      </c>
      <c r="E70">
        <v>81</v>
      </c>
      <c r="F70">
        <v>18</v>
      </c>
      <c r="G70">
        <v>12000</v>
      </c>
      <c r="H70" t="s">
        <v>163</v>
      </c>
    </row>
    <row r="71" spans="1:8" x14ac:dyDescent="0.25">
      <c r="A71" t="s">
        <v>164</v>
      </c>
      <c r="B71" t="s">
        <v>39</v>
      </c>
      <c r="C71" t="s">
        <v>9</v>
      </c>
      <c r="D71" t="s">
        <v>34</v>
      </c>
      <c r="E71">
        <v>156</v>
      </c>
      <c r="F71">
        <v>58</v>
      </c>
      <c r="G71">
        <v>30000</v>
      </c>
      <c r="H71" t="s">
        <v>165</v>
      </c>
    </row>
    <row r="72" spans="1:8" x14ac:dyDescent="0.25">
      <c r="A72" t="s">
        <v>166</v>
      </c>
      <c r="B72" t="s">
        <v>13</v>
      </c>
      <c r="C72" t="s">
        <v>9</v>
      </c>
      <c r="D72" t="s">
        <v>12</v>
      </c>
      <c r="E72">
        <v>91</v>
      </c>
      <c r="F72">
        <v>114</v>
      </c>
      <c r="G72">
        <v>2500</v>
      </c>
      <c r="H72" t="s">
        <v>167</v>
      </c>
    </row>
    <row r="73" spans="1:8" x14ac:dyDescent="0.25">
      <c r="A73" t="s">
        <v>168</v>
      </c>
      <c r="B73" t="s">
        <v>96</v>
      </c>
      <c r="C73" t="s">
        <v>9</v>
      </c>
      <c r="D73" t="s">
        <v>26</v>
      </c>
      <c r="E73">
        <v>179</v>
      </c>
      <c r="F73">
        <v>72</v>
      </c>
      <c r="G73">
        <v>8000</v>
      </c>
      <c r="H73" t="s">
        <v>169</v>
      </c>
    </row>
    <row r="74" spans="1:8" x14ac:dyDescent="0.25">
      <c r="A74" t="s">
        <v>170</v>
      </c>
      <c r="B74" t="s">
        <v>25</v>
      </c>
      <c r="C74" t="s">
        <v>9</v>
      </c>
      <c r="D74" t="s">
        <v>34</v>
      </c>
      <c r="E74">
        <v>75</v>
      </c>
      <c r="F74">
        <v>50</v>
      </c>
      <c r="G74">
        <v>2500</v>
      </c>
      <c r="H74" t="s">
        <v>171</v>
      </c>
    </row>
    <row r="75" spans="1:8" x14ac:dyDescent="0.25">
      <c r="A75" t="s">
        <v>172</v>
      </c>
      <c r="B75" t="s">
        <v>49</v>
      </c>
      <c r="C75" t="s">
        <v>9</v>
      </c>
      <c r="D75" t="s">
        <v>74</v>
      </c>
      <c r="E75">
        <v>70</v>
      </c>
      <c r="F75">
        <v>146</v>
      </c>
      <c r="G75">
        <v>55000</v>
      </c>
      <c r="H75" t="s">
        <v>47</v>
      </c>
    </row>
    <row r="76" spans="1:8" x14ac:dyDescent="0.25">
      <c r="A76" t="s">
        <v>173</v>
      </c>
      <c r="B76" t="s">
        <v>8</v>
      </c>
      <c r="C76" t="s">
        <v>9</v>
      </c>
      <c r="D76" t="s">
        <v>18</v>
      </c>
      <c r="E76">
        <v>65</v>
      </c>
      <c r="F76">
        <v>17</v>
      </c>
      <c r="G76">
        <v>500</v>
      </c>
      <c r="H76" t="s">
        <v>174</v>
      </c>
    </row>
    <row r="77" spans="1:8" x14ac:dyDescent="0.25">
      <c r="A77" t="s">
        <v>175</v>
      </c>
      <c r="B77" t="s">
        <v>25</v>
      </c>
      <c r="C77" t="s">
        <v>9</v>
      </c>
      <c r="D77" t="s">
        <v>34</v>
      </c>
      <c r="E77">
        <v>138</v>
      </c>
      <c r="F77">
        <v>114</v>
      </c>
      <c r="G77">
        <v>12000</v>
      </c>
      <c r="H77" t="s">
        <v>176</v>
      </c>
    </row>
    <row r="78" spans="1:8" x14ac:dyDescent="0.25">
      <c r="A78" t="s">
        <v>177</v>
      </c>
      <c r="B78" t="s">
        <v>52</v>
      </c>
      <c r="C78" t="s">
        <v>9</v>
      </c>
      <c r="D78" t="s">
        <v>12</v>
      </c>
      <c r="E78">
        <v>34</v>
      </c>
      <c r="F78">
        <v>26</v>
      </c>
      <c r="G78">
        <v>8000</v>
      </c>
      <c r="H78" t="s">
        <v>178</v>
      </c>
    </row>
    <row r="79" spans="1:8" x14ac:dyDescent="0.25">
      <c r="A79" t="s">
        <v>179</v>
      </c>
      <c r="B79" t="s">
        <v>25</v>
      </c>
      <c r="C79" t="s">
        <v>9</v>
      </c>
      <c r="D79" t="s">
        <v>34</v>
      </c>
      <c r="E79">
        <v>124</v>
      </c>
      <c r="F79">
        <v>86</v>
      </c>
      <c r="G79">
        <v>1200</v>
      </c>
      <c r="H79" t="s">
        <v>128</v>
      </c>
    </row>
    <row r="80" spans="1:8" x14ac:dyDescent="0.25">
      <c r="A80" t="s">
        <v>180</v>
      </c>
      <c r="B80" t="s">
        <v>13</v>
      </c>
      <c r="C80" t="s">
        <v>9</v>
      </c>
      <c r="D80" t="s">
        <v>26</v>
      </c>
      <c r="E80">
        <v>127</v>
      </c>
      <c r="F80">
        <v>4</v>
      </c>
      <c r="G80">
        <v>1200</v>
      </c>
      <c r="H80" t="s">
        <v>181</v>
      </c>
    </row>
    <row r="81" spans="1:8" x14ac:dyDescent="0.25">
      <c r="A81" t="s">
        <v>182</v>
      </c>
      <c r="B81" t="s">
        <v>15</v>
      </c>
      <c r="C81" t="s">
        <v>9</v>
      </c>
      <c r="D81" t="s">
        <v>10</v>
      </c>
      <c r="E81">
        <v>123</v>
      </c>
      <c r="F81">
        <v>106</v>
      </c>
      <c r="G81">
        <v>800</v>
      </c>
      <c r="H81" t="s">
        <v>183</v>
      </c>
    </row>
    <row r="82" spans="1:8" x14ac:dyDescent="0.25">
      <c r="A82" t="s">
        <v>184</v>
      </c>
      <c r="B82" t="s">
        <v>13</v>
      </c>
      <c r="C82" t="s">
        <v>9</v>
      </c>
      <c r="D82" t="s">
        <v>31</v>
      </c>
      <c r="E82">
        <v>74</v>
      </c>
      <c r="F82">
        <v>121</v>
      </c>
      <c r="G82">
        <v>1500</v>
      </c>
      <c r="H82" t="s">
        <v>185</v>
      </c>
    </row>
    <row r="83" spans="1:8" x14ac:dyDescent="0.25">
      <c r="A83" t="s">
        <v>186</v>
      </c>
      <c r="B83" t="s">
        <v>25</v>
      </c>
      <c r="C83" t="s">
        <v>9</v>
      </c>
      <c r="D83" t="s">
        <v>31</v>
      </c>
      <c r="E83">
        <v>186</v>
      </c>
      <c r="F83">
        <v>11</v>
      </c>
      <c r="G83">
        <v>12000</v>
      </c>
      <c r="H83" t="s">
        <v>155</v>
      </c>
    </row>
    <row r="84" spans="1:8" x14ac:dyDescent="0.25">
      <c r="A84" t="s">
        <v>187</v>
      </c>
      <c r="B84" t="s">
        <v>17</v>
      </c>
      <c r="C84" t="s">
        <v>9</v>
      </c>
      <c r="D84" t="s">
        <v>74</v>
      </c>
      <c r="E84">
        <v>109</v>
      </c>
      <c r="F84">
        <v>130</v>
      </c>
      <c r="G84">
        <v>12000</v>
      </c>
      <c r="H84" t="s">
        <v>188</v>
      </c>
    </row>
    <row r="85" spans="1:8" x14ac:dyDescent="0.25">
      <c r="A85" t="s">
        <v>189</v>
      </c>
      <c r="B85" t="s">
        <v>39</v>
      </c>
      <c r="C85" t="s">
        <v>9</v>
      </c>
      <c r="D85" t="s">
        <v>10</v>
      </c>
      <c r="E85">
        <v>48</v>
      </c>
      <c r="F85">
        <v>118</v>
      </c>
      <c r="G85">
        <v>12000</v>
      </c>
      <c r="H85" t="s">
        <v>190</v>
      </c>
    </row>
    <row r="86" spans="1:8" x14ac:dyDescent="0.25">
      <c r="A86" t="s">
        <v>191</v>
      </c>
      <c r="B86" t="s">
        <v>11</v>
      </c>
      <c r="C86" t="s">
        <v>9</v>
      </c>
      <c r="D86" t="s">
        <v>26</v>
      </c>
      <c r="E86">
        <v>149</v>
      </c>
      <c r="F86">
        <v>19</v>
      </c>
      <c r="G86">
        <v>5000</v>
      </c>
      <c r="H86" t="s">
        <v>192</v>
      </c>
    </row>
    <row r="87" spans="1:8" x14ac:dyDescent="0.25">
      <c r="A87" t="s">
        <v>193</v>
      </c>
      <c r="B87" t="s">
        <v>8</v>
      </c>
      <c r="C87" t="s">
        <v>9</v>
      </c>
      <c r="D87" t="s">
        <v>18</v>
      </c>
      <c r="E87">
        <v>83</v>
      </c>
      <c r="F87">
        <v>111</v>
      </c>
      <c r="G87">
        <v>1500</v>
      </c>
      <c r="H87" t="s">
        <v>194</v>
      </c>
    </row>
    <row r="88" spans="1:8" x14ac:dyDescent="0.25">
      <c r="A88" t="s">
        <v>195</v>
      </c>
      <c r="B88" t="s">
        <v>11</v>
      </c>
      <c r="C88" t="s">
        <v>9</v>
      </c>
      <c r="D88" t="s">
        <v>46</v>
      </c>
      <c r="E88">
        <v>75</v>
      </c>
      <c r="F88">
        <v>94</v>
      </c>
      <c r="G88">
        <v>30000</v>
      </c>
      <c r="H88" t="s">
        <v>196</v>
      </c>
    </row>
    <row r="89" spans="1:8" x14ac:dyDescent="0.25">
      <c r="A89" t="s">
        <v>197</v>
      </c>
      <c r="B89" t="s">
        <v>25</v>
      </c>
      <c r="C89" t="s">
        <v>9</v>
      </c>
      <c r="D89" t="s">
        <v>14</v>
      </c>
      <c r="E89">
        <v>82</v>
      </c>
      <c r="F89">
        <v>68</v>
      </c>
      <c r="G89">
        <v>5000</v>
      </c>
      <c r="H89" t="s">
        <v>198</v>
      </c>
    </row>
    <row r="90" spans="1:8" x14ac:dyDescent="0.25">
      <c r="A90" t="s">
        <v>199</v>
      </c>
      <c r="B90" t="s">
        <v>11</v>
      </c>
      <c r="C90" t="s">
        <v>9</v>
      </c>
      <c r="D90" t="s">
        <v>26</v>
      </c>
      <c r="E90">
        <v>66</v>
      </c>
      <c r="F90">
        <v>37</v>
      </c>
      <c r="G90">
        <v>8000</v>
      </c>
      <c r="H90" t="s">
        <v>200</v>
      </c>
    </row>
    <row r="91" spans="1:8" x14ac:dyDescent="0.25">
      <c r="A91" t="s">
        <v>201</v>
      </c>
      <c r="B91" t="s">
        <v>96</v>
      </c>
      <c r="C91" t="s">
        <v>9</v>
      </c>
      <c r="D91" t="s">
        <v>10</v>
      </c>
      <c r="E91">
        <v>170</v>
      </c>
      <c r="F91">
        <v>116</v>
      </c>
      <c r="G91">
        <v>500</v>
      </c>
      <c r="H91" t="s">
        <v>171</v>
      </c>
    </row>
    <row r="92" spans="1:8" x14ac:dyDescent="0.25">
      <c r="A92" t="s">
        <v>202</v>
      </c>
      <c r="B92" t="s">
        <v>15</v>
      </c>
      <c r="C92" t="s">
        <v>9</v>
      </c>
      <c r="D92" t="s">
        <v>18</v>
      </c>
      <c r="E92">
        <v>94</v>
      </c>
      <c r="F92">
        <v>16</v>
      </c>
      <c r="G92">
        <v>12000</v>
      </c>
      <c r="H92" t="s">
        <v>79</v>
      </c>
    </row>
    <row r="93" spans="1:8" x14ac:dyDescent="0.25">
      <c r="A93" t="s">
        <v>203</v>
      </c>
      <c r="B93" t="s">
        <v>25</v>
      </c>
      <c r="C93" t="s">
        <v>9</v>
      </c>
      <c r="D93" t="s">
        <v>31</v>
      </c>
      <c r="E93">
        <v>48</v>
      </c>
      <c r="F93">
        <v>30</v>
      </c>
      <c r="G93">
        <v>8000</v>
      </c>
      <c r="H93" t="s">
        <v>167</v>
      </c>
    </row>
    <row r="94" spans="1:8" x14ac:dyDescent="0.25">
      <c r="A94" t="s">
        <v>204</v>
      </c>
      <c r="B94" t="s">
        <v>52</v>
      </c>
      <c r="C94" t="s">
        <v>9</v>
      </c>
      <c r="D94" t="s">
        <v>46</v>
      </c>
      <c r="E94">
        <v>86</v>
      </c>
      <c r="F94">
        <v>102</v>
      </c>
      <c r="G94">
        <v>2500</v>
      </c>
      <c r="H94" t="s">
        <v>126</v>
      </c>
    </row>
    <row r="95" spans="1:8" x14ac:dyDescent="0.25">
      <c r="A95" t="s">
        <v>205</v>
      </c>
      <c r="B95" t="s">
        <v>96</v>
      </c>
      <c r="C95" t="s">
        <v>9</v>
      </c>
      <c r="D95" t="s">
        <v>31</v>
      </c>
      <c r="E95">
        <v>52</v>
      </c>
      <c r="F95">
        <v>102</v>
      </c>
      <c r="G95">
        <v>500</v>
      </c>
      <c r="H95" t="s">
        <v>97</v>
      </c>
    </row>
    <row r="96" spans="1:8" x14ac:dyDescent="0.25">
      <c r="A96" t="s">
        <v>206</v>
      </c>
      <c r="B96" t="s">
        <v>25</v>
      </c>
      <c r="C96" t="s">
        <v>9</v>
      </c>
      <c r="D96" t="s">
        <v>14</v>
      </c>
      <c r="E96">
        <v>62</v>
      </c>
      <c r="F96">
        <v>79</v>
      </c>
      <c r="G96">
        <v>5000</v>
      </c>
      <c r="H96" t="s">
        <v>23</v>
      </c>
    </row>
    <row r="97" spans="1:8" x14ac:dyDescent="0.25">
      <c r="A97" t="s">
        <v>207</v>
      </c>
      <c r="B97" t="s">
        <v>8</v>
      </c>
      <c r="C97" t="s">
        <v>9</v>
      </c>
      <c r="D97" t="s">
        <v>16</v>
      </c>
      <c r="E97">
        <v>63</v>
      </c>
      <c r="F97">
        <v>11</v>
      </c>
      <c r="G97">
        <v>1500</v>
      </c>
      <c r="H97" t="s">
        <v>208</v>
      </c>
    </row>
    <row r="98" spans="1:8" x14ac:dyDescent="0.25">
      <c r="A98" t="s">
        <v>209</v>
      </c>
      <c r="B98" t="s">
        <v>11</v>
      </c>
      <c r="C98" t="s">
        <v>9</v>
      </c>
      <c r="D98" t="s">
        <v>12</v>
      </c>
      <c r="E98">
        <v>86</v>
      </c>
      <c r="F98">
        <v>128</v>
      </c>
      <c r="G98">
        <v>2500</v>
      </c>
      <c r="H98" t="s">
        <v>75</v>
      </c>
    </row>
    <row r="99" spans="1:8" x14ac:dyDescent="0.25">
      <c r="A99" t="s">
        <v>210</v>
      </c>
      <c r="B99" t="s">
        <v>11</v>
      </c>
      <c r="C99" t="s">
        <v>9</v>
      </c>
      <c r="D99" t="s">
        <v>26</v>
      </c>
      <c r="E99">
        <v>36</v>
      </c>
      <c r="F99">
        <v>107</v>
      </c>
      <c r="G99">
        <v>8000</v>
      </c>
      <c r="H99" t="s">
        <v>211</v>
      </c>
    </row>
    <row r="100" spans="1:8" x14ac:dyDescent="0.25">
      <c r="A100" t="s">
        <v>212</v>
      </c>
      <c r="B100" t="s">
        <v>17</v>
      </c>
      <c r="C100" t="s">
        <v>9</v>
      </c>
      <c r="D100" t="s">
        <v>14</v>
      </c>
      <c r="E100">
        <v>27</v>
      </c>
      <c r="F100">
        <v>85</v>
      </c>
      <c r="G100">
        <v>5000</v>
      </c>
      <c r="H100" t="s">
        <v>169</v>
      </c>
    </row>
    <row r="101" spans="1:8" x14ac:dyDescent="0.25">
      <c r="A101" t="s">
        <v>213</v>
      </c>
      <c r="B101" t="s">
        <v>8</v>
      </c>
      <c r="C101" t="s">
        <v>9</v>
      </c>
      <c r="D101" t="s">
        <v>26</v>
      </c>
      <c r="E101">
        <v>68</v>
      </c>
      <c r="F101">
        <v>122</v>
      </c>
      <c r="G101">
        <v>2500</v>
      </c>
      <c r="H101" t="s">
        <v>77</v>
      </c>
    </row>
    <row r="102" spans="1:8" x14ac:dyDescent="0.25">
      <c r="A102" t="s">
        <v>214</v>
      </c>
      <c r="B102" t="s">
        <v>13</v>
      </c>
      <c r="C102" t="s">
        <v>9</v>
      </c>
      <c r="D102" t="s">
        <v>74</v>
      </c>
      <c r="E102">
        <v>93</v>
      </c>
      <c r="F102">
        <v>105</v>
      </c>
      <c r="G102">
        <v>30000</v>
      </c>
      <c r="H102" t="s">
        <v>86</v>
      </c>
    </row>
    <row r="103" spans="1:8" x14ac:dyDescent="0.25">
      <c r="A103" t="s">
        <v>215</v>
      </c>
      <c r="B103" t="s">
        <v>96</v>
      </c>
      <c r="C103" t="s">
        <v>9</v>
      </c>
      <c r="D103" t="s">
        <v>46</v>
      </c>
      <c r="E103">
        <v>180</v>
      </c>
      <c r="F103">
        <v>143</v>
      </c>
      <c r="G103">
        <v>55000</v>
      </c>
      <c r="H103" t="s">
        <v>216</v>
      </c>
    </row>
    <row r="104" spans="1:8" x14ac:dyDescent="0.25">
      <c r="A104" t="s">
        <v>217</v>
      </c>
      <c r="B104" t="s">
        <v>52</v>
      </c>
      <c r="C104" t="s">
        <v>9</v>
      </c>
      <c r="D104" t="s">
        <v>34</v>
      </c>
      <c r="E104">
        <v>125</v>
      </c>
      <c r="F104">
        <v>147</v>
      </c>
      <c r="G104">
        <v>1200</v>
      </c>
      <c r="H104" t="s">
        <v>218</v>
      </c>
    </row>
    <row r="105" spans="1:8" x14ac:dyDescent="0.25">
      <c r="A105" t="s">
        <v>219</v>
      </c>
      <c r="B105" t="s">
        <v>15</v>
      </c>
      <c r="C105" t="s">
        <v>9</v>
      </c>
      <c r="D105" t="s">
        <v>12</v>
      </c>
      <c r="E105">
        <v>182</v>
      </c>
      <c r="F105">
        <v>24</v>
      </c>
      <c r="G105">
        <v>500</v>
      </c>
      <c r="H105" t="s">
        <v>126</v>
      </c>
    </row>
    <row r="106" spans="1:8" x14ac:dyDescent="0.25">
      <c r="A106" t="s">
        <v>220</v>
      </c>
      <c r="B106" t="s">
        <v>17</v>
      </c>
      <c r="C106" t="s">
        <v>9</v>
      </c>
      <c r="D106" t="s">
        <v>26</v>
      </c>
      <c r="E106">
        <v>91</v>
      </c>
      <c r="F106">
        <v>6</v>
      </c>
      <c r="G106">
        <v>8000</v>
      </c>
      <c r="H106" t="s">
        <v>221</v>
      </c>
    </row>
    <row r="107" spans="1:8" x14ac:dyDescent="0.25">
      <c r="A107" t="s">
        <v>222</v>
      </c>
      <c r="B107" t="s">
        <v>15</v>
      </c>
      <c r="C107" t="s">
        <v>9</v>
      </c>
      <c r="D107" t="s">
        <v>14</v>
      </c>
      <c r="E107">
        <v>165</v>
      </c>
      <c r="F107">
        <v>112</v>
      </c>
      <c r="G107">
        <v>2500</v>
      </c>
      <c r="H107" t="s">
        <v>194</v>
      </c>
    </row>
    <row r="108" spans="1:8" x14ac:dyDescent="0.25">
      <c r="A108" t="s">
        <v>223</v>
      </c>
      <c r="B108" t="s">
        <v>11</v>
      </c>
      <c r="C108" t="s">
        <v>9</v>
      </c>
      <c r="D108" t="s">
        <v>26</v>
      </c>
      <c r="E108">
        <v>32</v>
      </c>
      <c r="F108">
        <v>105</v>
      </c>
      <c r="G108">
        <v>500</v>
      </c>
      <c r="H108" t="s">
        <v>198</v>
      </c>
    </row>
    <row r="109" spans="1:8" x14ac:dyDescent="0.25">
      <c r="A109" t="s">
        <v>224</v>
      </c>
      <c r="B109" t="s">
        <v>52</v>
      </c>
      <c r="C109" t="s">
        <v>9</v>
      </c>
      <c r="D109" t="s">
        <v>34</v>
      </c>
      <c r="E109">
        <v>96</v>
      </c>
      <c r="F109">
        <v>22</v>
      </c>
      <c r="G109">
        <v>1200</v>
      </c>
      <c r="H109" t="s">
        <v>225</v>
      </c>
    </row>
    <row r="110" spans="1:8" x14ac:dyDescent="0.25">
      <c r="A110" t="s">
        <v>226</v>
      </c>
      <c r="B110" t="s">
        <v>39</v>
      </c>
      <c r="C110" t="s">
        <v>9</v>
      </c>
      <c r="D110" t="s">
        <v>26</v>
      </c>
      <c r="E110">
        <v>129</v>
      </c>
      <c r="F110">
        <v>74</v>
      </c>
      <c r="G110">
        <v>8000</v>
      </c>
      <c r="H110" t="s">
        <v>227</v>
      </c>
    </row>
    <row r="111" spans="1:8" x14ac:dyDescent="0.25">
      <c r="A111" t="s">
        <v>228</v>
      </c>
      <c r="B111" t="s">
        <v>39</v>
      </c>
      <c r="C111" t="s">
        <v>9</v>
      </c>
      <c r="D111" t="s">
        <v>14</v>
      </c>
      <c r="E111">
        <v>60</v>
      </c>
      <c r="F111">
        <v>119</v>
      </c>
      <c r="G111">
        <v>55000</v>
      </c>
      <c r="H111" t="s">
        <v>57</v>
      </c>
    </row>
    <row r="112" spans="1:8" x14ac:dyDescent="0.25">
      <c r="A112" t="s">
        <v>229</v>
      </c>
      <c r="B112" t="s">
        <v>11</v>
      </c>
      <c r="C112" t="s">
        <v>9</v>
      </c>
      <c r="D112" t="s">
        <v>12</v>
      </c>
      <c r="E112">
        <v>54</v>
      </c>
      <c r="F112">
        <v>147</v>
      </c>
      <c r="G112">
        <v>5000</v>
      </c>
      <c r="H112" t="s">
        <v>230</v>
      </c>
    </row>
    <row r="113" spans="1:8" x14ac:dyDescent="0.25">
      <c r="A113" t="s">
        <v>231</v>
      </c>
      <c r="B113" t="s">
        <v>96</v>
      </c>
      <c r="C113" t="s">
        <v>9</v>
      </c>
      <c r="D113" t="s">
        <v>14</v>
      </c>
      <c r="E113">
        <v>58</v>
      </c>
      <c r="F113">
        <v>75</v>
      </c>
      <c r="G113">
        <v>55000</v>
      </c>
      <c r="H113" t="s">
        <v>155</v>
      </c>
    </row>
    <row r="114" spans="1:8" x14ac:dyDescent="0.25">
      <c r="A114" t="s">
        <v>232</v>
      </c>
      <c r="B114" t="s">
        <v>52</v>
      </c>
      <c r="C114" t="s">
        <v>9</v>
      </c>
      <c r="D114" t="s">
        <v>10</v>
      </c>
      <c r="E114">
        <v>95</v>
      </c>
      <c r="F114">
        <v>139</v>
      </c>
      <c r="G114">
        <v>12000</v>
      </c>
      <c r="H114" t="s">
        <v>233</v>
      </c>
    </row>
    <row r="115" spans="1:8" x14ac:dyDescent="0.25">
      <c r="A115" t="s">
        <v>234</v>
      </c>
      <c r="B115" t="s">
        <v>39</v>
      </c>
      <c r="C115" t="s">
        <v>9</v>
      </c>
      <c r="D115" t="s">
        <v>16</v>
      </c>
      <c r="E115">
        <v>189</v>
      </c>
      <c r="F115">
        <v>22</v>
      </c>
      <c r="G115">
        <v>800</v>
      </c>
      <c r="H115" t="s">
        <v>235</v>
      </c>
    </row>
    <row r="116" spans="1:8" x14ac:dyDescent="0.25">
      <c r="A116" t="s">
        <v>236</v>
      </c>
      <c r="B116" t="s">
        <v>52</v>
      </c>
      <c r="C116" t="s">
        <v>9</v>
      </c>
      <c r="D116" t="s">
        <v>16</v>
      </c>
      <c r="E116">
        <v>98</v>
      </c>
      <c r="F116">
        <v>110</v>
      </c>
      <c r="G116">
        <v>5000</v>
      </c>
      <c r="H116" t="s">
        <v>126</v>
      </c>
    </row>
    <row r="117" spans="1:8" x14ac:dyDescent="0.25">
      <c r="A117" t="s">
        <v>237</v>
      </c>
      <c r="B117" t="s">
        <v>49</v>
      </c>
      <c r="C117" t="s">
        <v>9</v>
      </c>
      <c r="D117" t="s">
        <v>74</v>
      </c>
      <c r="E117">
        <v>49</v>
      </c>
      <c r="F117">
        <v>120</v>
      </c>
      <c r="G117">
        <v>30000</v>
      </c>
      <c r="H117" t="s">
        <v>238</v>
      </c>
    </row>
    <row r="118" spans="1:8" x14ac:dyDescent="0.25">
      <c r="A118" t="s">
        <v>239</v>
      </c>
      <c r="B118" t="s">
        <v>25</v>
      </c>
      <c r="C118" t="s">
        <v>9</v>
      </c>
      <c r="D118" t="s">
        <v>18</v>
      </c>
      <c r="E118">
        <v>198</v>
      </c>
      <c r="F118">
        <v>72</v>
      </c>
      <c r="G118">
        <v>8000</v>
      </c>
      <c r="H118" t="s">
        <v>240</v>
      </c>
    </row>
    <row r="119" spans="1:8" x14ac:dyDescent="0.25">
      <c r="A119" t="s">
        <v>241</v>
      </c>
      <c r="B119" t="s">
        <v>15</v>
      </c>
      <c r="C119" t="s">
        <v>9</v>
      </c>
      <c r="D119" t="s">
        <v>34</v>
      </c>
      <c r="E119">
        <v>66</v>
      </c>
      <c r="F119">
        <v>111</v>
      </c>
      <c r="G119">
        <v>800</v>
      </c>
      <c r="H119" t="s">
        <v>192</v>
      </c>
    </row>
    <row r="120" spans="1:8" x14ac:dyDescent="0.25">
      <c r="A120" t="s">
        <v>242</v>
      </c>
      <c r="B120" t="s">
        <v>11</v>
      </c>
      <c r="C120" t="s">
        <v>9</v>
      </c>
      <c r="D120" t="s">
        <v>74</v>
      </c>
      <c r="E120">
        <v>163</v>
      </c>
      <c r="F120">
        <v>77</v>
      </c>
      <c r="G120">
        <v>1500</v>
      </c>
      <c r="H120" t="s">
        <v>243</v>
      </c>
    </row>
    <row r="121" spans="1:8" x14ac:dyDescent="0.25">
      <c r="A121" t="s">
        <v>244</v>
      </c>
      <c r="B121" t="s">
        <v>39</v>
      </c>
      <c r="C121" t="s">
        <v>9</v>
      </c>
      <c r="D121" t="s">
        <v>31</v>
      </c>
      <c r="E121">
        <v>65</v>
      </c>
      <c r="F121">
        <v>56</v>
      </c>
      <c r="G121">
        <v>12000</v>
      </c>
      <c r="H121" t="s">
        <v>35</v>
      </c>
    </row>
    <row r="122" spans="1:8" x14ac:dyDescent="0.25">
      <c r="A122" t="s">
        <v>245</v>
      </c>
      <c r="B122" t="s">
        <v>13</v>
      </c>
      <c r="C122" t="s">
        <v>9</v>
      </c>
      <c r="D122" t="s">
        <v>16</v>
      </c>
      <c r="E122">
        <v>129</v>
      </c>
      <c r="F122">
        <v>121</v>
      </c>
      <c r="G122">
        <v>8000</v>
      </c>
      <c r="H122" t="s">
        <v>246</v>
      </c>
    </row>
    <row r="123" spans="1:8" x14ac:dyDescent="0.25">
      <c r="A123" t="s">
        <v>247</v>
      </c>
      <c r="B123" t="s">
        <v>17</v>
      </c>
      <c r="C123" t="s">
        <v>9</v>
      </c>
      <c r="D123" t="s">
        <v>10</v>
      </c>
      <c r="E123">
        <v>194</v>
      </c>
      <c r="F123">
        <v>15</v>
      </c>
      <c r="G123">
        <v>1200</v>
      </c>
      <c r="H123" t="s">
        <v>248</v>
      </c>
    </row>
    <row r="124" spans="1:8" x14ac:dyDescent="0.25">
      <c r="A124" t="s">
        <v>249</v>
      </c>
      <c r="B124" t="s">
        <v>39</v>
      </c>
      <c r="C124" t="s">
        <v>9</v>
      </c>
      <c r="D124" t="s">
        <v>74</v>
      </c>
      <c r="E124">
        <v>186</v>
      </c>
      <c r="F124">
        <v>135</v>
      </c>
      <c r="G124">
        <v>500</v>
      </c>
      <c r="H124" t="s">
        <v>250</v>
      </c>
    </row>
    <row r="125" spans="1:8" x14ac:dyDescent="0.25">
      <c r="A125" t="s">
        <v>251</v>
      </c>
      <c r="B125" t="s">
        <v>13</v>
      </c>
      <c r="C125" t="s">
        <v>9</v>
      </c>
      <c r="D125" t="s">
        <v>14</v>
      </c>
      <c r="E125">
        <v>60</v>
      </c>
      <c r="F125">
        <v>41</v>
      </c>
      <c r="G125">
        <v>1200</v>
      </c>
      <c r="H125" t="s">
        <v>252</v>
      </c>
    </row>
    <row r="126" spans="1:8" x14ac:dyDescent="0.25">
      <c r="A126" t="s">
        <v>253</v>
      </c>
      <c r="B126" t="s">
        <v>17</v>
      </c>
      <c r="C126" t="s">
        <v>9</v>
      </c>
      <c r="D126" t="s">
        <v>12</v>
      </c>
      <c r="E126">
        <v>63</v>
      </c>
      <c r="F126">
        <v>93</v>
      </c>
      <c r="G126">
        <v>12000</v>
      </c>
      <c r="H126" t="s">
        <v>254</v>
      </c>
    </row>
    <row r="127" spans="1:8" x14ac:dyDescent="0.25">
      <c r="A127" t="s">
        <v>255</v>
      </c>
      <c r="B127" t="s">
        <v>39</v>
      </c>
      <c r="C127" t="s">
        <v>9</v>
      </c>
      <c r="D127" t="s">
        <v>74</v>
      </c>
      <c r="E127">
        <v>186</v>
      </c>
      <c r="F127">
        <v>44</v>
      </c>
      <c r="G127">
        <v>5000</v>
      </c>
      <c r="H127" t="s">
        <v>188</v>
      </c>
    </row>
    <row r="128" spans="1:8" x14ac:dyDescent="0.25">
      <c r="A128" t="s">
        <v>256</v>
      </c>
      <c r="B128" t="s">
        <v>52</v>
      </c>
      <c r="C128" t="s">
        <v>9</v>
      </c>
      <c r="D128" t="s">
        <v>46</v>
      </c>
      <c r="E128">
        <v>52</v>
      </c>
      <c r="F128">
        <v>91</v>
      </c>
      <c r="G128">
        <v>12000</v>
      </c>
      <c r="H128" t="s">
        <v>257</v>
      </c>
    </row>
    <row r="129" spans="1:8" x14ac:dyDescent="0.25">
      <c r="A129" t="s">
        <v>258</v>
      </c>
      <c r="B129" t="s">
        <v>25</v>
      </c>
      <c r="C129" t="s">
        <v>9</v>
      </c>
      <c r="D129" t="s">
        <v>12</v>
      </c>
      <c r="E129">
        <v>27</v>
      </c>
      <c r="F129">
        <v>131</v>
      </c>
      <c r="G129">
        <v>30000</v>
      </c>
      <c r="H129" t="s">
        <v>259</v>
      </c>
    </row>
    <row r="130" spans="1:8" x14ac:dyDescent="0.25">
      <c r="A130" t="s">
        <v>260</v>
      </c>
      <c r="B130" t="s">
        <v>49</v>
      </c>
      <c r="C130" t="s">
        <v>9</v>
      </c>
      <c r="D130" t="s">
        <v>31</v>
      </c>
      <c r="E130">
        <v>48</v>
      </c>
      <c r="F130">
        <v>25</v>
      </c>
      <c r="G130">
        <v>5000</v>
      </c>
      <c r="H130" t="s">
        <v>261</v>
      </c>
    </row>
    <row r="131" spans="1:8" x14ac:dyDescent="0.25">
      <c r="A131" t="s">
        <v>262</v>
      </c>
      <c r="B131" t="s">
        <v>8</v>
      </c>
      <c r="C131" t="s">
        <v>9</v>
      </c>
      <c r="D131" t="s">
        <v>16</v>
      </c>
      <c r="E131">
        <v>144</v>
      </c>
      <c r="F131">
        <v>147</v>
      </c>
      <c r="G131">
        <v>500</v>
      </c>
      <c r="H131" t="s">
        <v>263</v>
      </c>
    </row>
    <row r="132" spans="1:8" x14ac:dyDescent="0.25">
      <c r="A132" t="s">
        <v>264</v>
      </c>
      <c r="B132" t="s">
        <v>13</v>
      </c>
      <c r="C132" t="s">
        <v>9</v>
      </c>
      <c r="D132" t="s">
        <v>12</v>
      </c>
      <c r="E132">
        <v>50</v>
      </c>
      <c r="F132">
        <v>80</v>
      </c>
      <c r="G132">
        <v>5000</v>
      </c>
      <c r="H132" t="s">
        <v>221</v>
      </c>
    </row>
    <row r="133" spans="1:8" x14ac:dyDescent="0.25">
      <c r="A133" t="s">
        <v>265</v>
      </c>
      <c r="B133" t="s">
        <v>49</v>
      </c>
      <c r="C133" t="s">
        <v>9</v>
      </c>
      <c r="D133" t="s">
        <v>31</v>
      </c>
      <c r="E133">
        <v>189</v>
      </c>
      <c r="F133">
        <v>23</v>
      </c>
      <c r="G133">
        <v>2500</v>
      </c>
      <c r="H133" t="s">
        <v>266</v>
      </c>
    </row>
    <row r="134" spans="1:8" x14ac:dyDescent="0.25">
      <c r="A134" t="s">
        <v>267</v>
      </c>
      <c r="B134" t="s">
        <v>15</v>
      </c>
      <c r="C134" t="s">
        <v>9</v>
      </c>
      <c r="D134" t="s">
        <v>26</v>
      </c>
      <c r="E134">
        <v>44</v>
      </c>
      <c r="F134">
        <v>30</v>
      </c>
      <c r="G134">
        <v>30000</v>
      </c>
      <c r="H134" t="s">
        <v>268</v>
      </c>
    </row>
    <row r="135" spans="1:8" x14ac:dyDescent="0.25">
      <c r="A135" t="s">
        <v>269</v>
      </c>
      <c r="B135" t="s">
        <v>8</v>
      </c>
      <c r="C135" t="s">
        <v>9</v>
      </c>
      <c r="D135" t="s">
        <v>18</v>
      </c>
      <c r="E135">
        <v>76</v>
      </c>
      <c r="F135">
        <v>76</v>
      </c>
      <c r="G135">
        <v>500</v>
      </c>
      <c r="H135" t="s">
        <v>270</v>
      </c>
    </row>
    <row r="136" spans="1:8" x14ac:dyDescent="0.25">
      <c r="A136" t="s">
        <v>271</v>
      </c>
      <c r="B136" t="s">
        <v>17</v>
      </c>
      <c r="C136" t="s">
        <v>9</v>
      </c>
      <c r="D136" t="s">
        <v>74</v>
      </c>
      <c r="E136">
        <v>197</v>
      </c>
      <c r="F136">
        <v>129</v>
      </c>
      <c r="G136">
        <v>30000</v>
      </c>
      <c r="H136" t="s">
        <v>272</v>
      </c>
    </row>
    <row r="137" spans="1:8" x14ac:dyDescent="0.25">
      <c r="A137" t="s">
        <v>273</v>
      </c>
      <c r="B137" t="s">
        <v>49</v>
      </c>
      <c r="C137" t="s">
        <v>9</v>
      </c>
      <c r="D137" t="s">
        <v>18</v>
      </c>
      <c r="E137">
        <v>153</v>
      </c>
      <c r="F137">
        <v>135</v>
      </c>
      <c r="G137">
        <v>500</v>
      </c>
      <c r="H137" t="s">
        <v>274</v>
      </c>
    </row>
    <row r="138" spans="1:8" x14ac:dyDescent="0.25">
      <c r="A138" t="s">
        <v>275</v>
      </c>
      <c r="B138" t="s">
        <v>15</v>
      </c>
      <c r="C138" t="s">
        <v>9</v>
      </c>
      <c r="D138" t="s">
        <v>34</v>
      </c>
      <c r="E138">
        <v>72</v>
      </c>
      <c r="F138">
        <v>109</v>
      </c>
      <c r="G138">
        <v>8000</v>
      </c>
      <c r="H138" t="s">
        <v>276</v>
      </c>
    </row>
    <row r="139" spans="1:8" x14ac:dyDescent="0.25">
      <c r="A139" t="s">
        <v>277</v>
      </c>
      <c r="B139" t="s">
        <v>13</v>
      </c>
      <c r="C139" t="s">
        <v>9</v>
      </c>
      <c r="D139" t="s">
        <v>74</v>
      </c>
      <c r="E139">
        <v>146</v>
      </c>
      <c r="F139">
        <v>37</v>
      </c>
      <c r="G139">
        <v>8000</v>
      </c>
      <c r="H139" t="s">
        <v>278</v>
      </c>
    </row>
    <row r="140" spans="1:8" x14ac:dyDescent="0.25">
      <c r="A140" t="s">
        <v>279</v>
      </c>
      <c r="B140" t="s">
        <v>11</v>
      </c>
      <c r="C140" t="s">
        <v>9</v>
      </c>
      <c r="D140" t="s">
        <v>26</v>
      </c>
      <c r="E140">
        <v>124</v>
      </c>
      <c r="F140">
        <v>135</v>
      </c>
      <c r="G140">
        <v>55000</v>
      </c>
      <c r="H140" t="s">
        <v>153</v>
      </c>
    </row>
    <row r="141" spans="1:8" x14ac:dyDescent="0.25">
      <c r="A141" t="s">
        <v>280</v>
      </c>
      <c r="B141" t="s">
        <v>96</v>
      </c>
      <c r="C141" t="s">
        <v>9</v>
      </c>
      <c r="D141" t="s">
        <v>26</v>
      </c>
      <c r="E141">
        <v>91</v>
      </c>
      <c r="F141">
        <v>69</v>
      </c>
      <c r="G141">
        <v>8000</v>
      </c>
      <c r="H141" t="s">
        <v>281</v>
      </c>
    </row>
    <row r="142" spans="1:8" x14ac:dyDescent="0.25">
      <c r="A142" t="s">
        <v>282</v>
      </c>
      <c r="B142" t="s">
        <v>49</v>
      </c>
      <c r="C142" t="s">
        <v>9</v>
      </c>
      <c r="D142" t="s">
        <v>46</v>
      </c>
      <c r="E142">
        <v>107</v>
      </c>
      <c r="F142">
        <v>139</v>
      </c>
      <c r="G142">
        <v>500</v>
      </c>
      <c r="H142" t="s">
        <v>283</v>
      </c>
    </row>
    <row r="143" spans="1:8" x14ac:dyDescent="0.25">
      <c r="A143" t="s">
        <v>284</v>
      </c>
      <c r="B143" t="s">
        <v>96</v>
      </c>
      <c r="C143" t="s">
        <v>9</v>
      </c>
      <c r="D143" t="s">
        <v>10</v>
      </c>
      <c r="E143">
        <v>140</v>
      </c>
      <c r="F143">
        <v>49</v>
      </c>
      <c r="G143">
        <v>500</v>
      </c>
      <c r="H143" t="s">
        <v>97</v>
      </c>
    </row>
    <row r="144" spans="1:8" x14ac:dyDescent="0.25">
      <c r="A144" t="s">
        <v>285</v>
      </c>
      <c r="B144" t="s">
        <v>11</v>
      </c>
      <c r="C144" t="s">
        <v>9</v>
      </c>
      <c r="D144" t="s">
        <v>14</v>
      </c>
      <c r="E144">
        <v>117</v>
      </c>
      <c r="F144">
        <v>148</v>
      </c>
      <c r="G144">
        <v>55000</v>
      </c>
      <c r="H144" t="s">
        <v>230</v>
      </c>
    </row>
    <row r="145" spans="1:8" x14ac:dyDescent="0.25">
      <c r="A145" t="s">
        <v>286</v>
      </c>
      <c r="B145" t="s">
        <v>13</v>
      </c>
      <c r="C145" t="s">
        <v>9</v>
      </c>
      <c r="D145" t="s">
        <v>16</v>
      </c>
      <c r="E145">
        <v>52</v>
      </c>
      <c r="F145">
        <v>43</v>
      </c>
      <c r="G145">
        <v>12000</v>
      </c>
      <c r="H145" t="s">
        <v>287</v>
      </c>
    </row>
    <row r="146" spans="1:8" x14ac:dyDescent="0.25">
      <c r="A146" t="s">
        <v>288</v>
      </c>
      <c r="B146" t="s">
        <v>11</v>
      </c>
      <c r="C146" t="s">
        <v>9</v>
      </c>
      <c r="D146" t="s">
        <v>74</v>
      </c>
      <c r="E146">
        <v>36</v>
      </c>
      <c r="F146">
        <v>126</v>
      </c>
      <c r="G146">
        <v>8000</v>
      </c>
      <c r="H146" t="s">
        <v>289</v>
      </c>
    </row>
    <row r="147" spans="1:8" x14ac:dyDescent="0.25">
      <c r="A147" t="s">
        <v>290</v>
      </c>
      <c r="B147" t="s">
        <v>39</v>
      </c>
      <c r="C147" t="s">
        <v>9</v>
      </c>
      <c r="D147" t="s">
        <v>46</v>
      </c>
      <c r="E147">
        <v>101</v>
      </c>
      <c r="F147">
        <v>52</v>
      </c>
      <c r="G147">
        <v>30000</v>
      </c>
      <c r="H147" t="s">
        <v>291</v>
      </c>
    </row>
    <row r="148" spans="1:8" x14ac:dyDescent="0.25">
      <c r="A148" t="s">
        <v>292</v>
      </c>
      <c r="B148" t="s">
        <v>52</v>
      </c>
      <c r="C148" t="s">
        <v>9</v>
      </c>
      <c r="D148" t="s">
        <v>34</v>
      </c>
      <c r="E148">
        <v>145</v>
      </c>
      <c r="F148">
        <v>85</v>
      </c>
      <c r="G148">
        <v>2500</v>
      </c>
      <c r="H148" t="s">
        <v>293</v>
      </c>
    </row>
    <row r="149" spans="1:8" x14ac:dyDescent="0.25">
      <c r="A149" t="s">
        <v>294</v>
      </c>
      <c r="B149" t="s">
        <v>15</v>
      </c>
      <c r="C149" t="s">
        <v>9</v>
      </c>
      <c r="D149" t="s">
        <v>16</v>
      </c>
      <c r="E149">
        <v>73</v>
      </c>
      <c r="F149">
        <v>131</v>
      </c>
      <c r="G149">
        <v>5000</v>
      </c>
      <c r="H149" t="s">
        <v>108</v>
      </c>
    </row>
    <row r="150" spans="1:8" x14ac:dyDescent="0.25">
      <c r="A150" t="s">
        <v>295</v>
      </c>
      <c r="B150" t="s">
        <v>52</v>
      </c>
      <c r="C150" t="s">
        <v>9</v>
      </c>
      <c r="D150" t="s">
        <v>34</v>
      </c>
      <c r="E150">
        <v>145</v>
      </c>
      <c r="F150">
        <v>137</v>
      </c>
      <c r="G150">
        <v>12000</v>
      </c>
      <c r="H150" t="s">
        <v>50</v>
      </c>
    </row>
    <row r="151" spans="1:8" x14ac:dyDescent="0.25">
      <c r="A151" t="s">
        <v>296</v>
      </c>
      <c r="B151" t="s">
        <v>39</v>
      </c>
      <c r="C151" t="s">
        <v>9</v>
      </c>
      <c r="D151" t="s">
        <v>34</v>
      </c>
      <c r="E151">
        <v>103</v>
      </c>
      <c r="F151">
        <v>146</v>
      </c>
      <c r="G151">
        <v>800</v>
      </c>
      <c r="H151" t="s">
        <v>297</v>
      </c>
    </row>
    <row r="152" spans="1:8" x14ac:dyDescent="0.25">
      <c r="A152" t="s">
        <v>298</v>
      </c>
      <c r="B152" t="s">
        <v>15</v>
      </c>
      <c r="C152" t="s">
        <v>9</v>
      </c>
      <c r="D152" t="s">
        <v>31</v>
      </c>
      <c r="E152">
        <v>165</v>
      </c>
      <c r="F152">
        <v>35</v>
      </c>
      <c r="G152">
        <v>30000</v>
      </c>
      <c r="H152" t="s">
        <v>299</v>
      </c>
    </row>
    <row r="153" spans="1:8" x14ac:dyDescent="0.25">
      <c r="A153" t="s">
        <v>300</v>
      </c>
      <c r="B153" t="s">
        <v>13</v>
      </c>
      <c r="C153" t="s">
        <v>9</v>
      </c>
      <c r="D153" t="s">
        <v>10</v>
      </c>
      <c r="E153">
        <v>147</v>
      </c>
      <c r="F153">
        <v>0</v>
      </c>
      <c r="G153">
        <v>1500</v>
      </c>
      <c r="H153" t="s">
        <v>301</v>
      </c>
    </row>
    <row r="154" spans="1:8" x14ac:dyDescent="0.25">
      <c r="A154" t="s">
        <v>302</v>
      </c>
      <c r="B154" t="s">
        <v>13</v>
      </c>
      <c r="C154" t="s">
        <v>9</v>
      </c>
      <c r="D154" t="s">
        <v>16</v>
      </c>
      <c r="E154">
        <v>169</v>
      </c>
      <c r="F154">
        <v>7</v>
      </c>
      <c r="G154">
        <v>12000</v>
      </c>
      <c r="H154" t="s">
        <v>303</v>
      </c>
    </row>
    <row r="155" spans="1:8" x14ac:dyDescent="0.25">
      <c r="A155" t="s">
        <v>304</v>
      </c>
      <c r="B155" t="s">
        <v>39</v>
      </c>
      <c r="C155" t="s">
        <v>9</v>
      </c>
      <c r="D155" t="s">
        <v>12</v>
      </c>
      <c r="E155">
        <v>97</v>
      </c>
      <c r="F155">
        <v>13</v>
      </c>
      <c r="G155">
        <v>500</v>
      </c>
      <c r="H155" t="s">
        <v>305</v>
      </c>
    </row>
    <row r="156" spans="1:8" x14ac:dyDescent="0.25">
      <c r="A156" t="s">
        <v>306</v>
      </c>
      <c r="B156" t="s">
        <v>39</v>
      </c>
      <c r="C156" t="s">
        <v>9</v>
      </c>
      <c r="D156" t="s">
        <v>26</v>
      </c>
      <c r="E156">
        <v>24</v>
      </c>
      <c r="F156">
        <v>33</v>
      </c>
      <c r="G156">
        <v>5000</v>
      </c>
      <c r="H156" t="s">
        <v>211</v>
      </c>
    </row>
    <row r="157" spans="1:8" x14ac:dyDescent="0.25">
      <c r="A157" t="s">
        <v>307</v>
      </c>
      <c r="B157" t="s">
        <v>13</v>
      </c>
      <c r="C157" t="s">
        <v>9</v>
      </c>
      <c r="D157" t="s">
        <v>18</v>
      </c>
      <c r="E157">
        <v>100</v>
      </c>
      <c r="F157">
        <v>134</v>
      </c>
      <c r="G157">
        <v>8000</v>
      </c>
      <c r="H157" t="s">
        <v>308</v>
      </c>
    </row>
    <row r="158" spans="1:8" x14ac:dyDescent="0.25">
      <c r="A158" t="s">
        <v>309</v>
      </c>
      <c r="B158" t="s">
        <v>13</v>
      </c>
      <c r="C158" t="s">
        <v>9</v>
      </c>
      <c r="D158" t="s">
        <v>18</v>
      </c>
      <c r="E158">
        <v>107</v>
      </c>
      <c r="F158">
        <v>18</v>
      </c>
      <c r="G158">
        <v>12000</v>
      </c>
      <c r="H158" t="s">
        <v>243</v>
      </c>
    </row>
    <row r="159" spans="1:8" x14ac:dyDescent="0.25">
      <c r="A159" t="s">
        <v>310</v>
      </c>
      <c r="B159" t="s">
        <v>15</v>
      </c>
      <c r="C159" t="s">
        <v>9</v>
      </c>
      <c r="D159" t="s">
        <v>16</v>
      </c>
      <c r="E159">
        <v>26</v>
      </c>
      <c r="F159">
        <v>12</v>
      </c>
      <c r="G159">
        <v>8000</v>
      </c>
      <c r="H159" t="s">
        <v>311</v>
      </c>
    </row>
    <row r="160" spans="1:8" x14ac:dyDescent="0.25">
      <c r="A160" t="s">
        <v>312</v>
      </c>
      <c r="B160" t="s">
        <v>25</v>
      </c>
      <c r="C160" t="s">
        <v>9</v>
      </c>
      <c r="D160" t="s">
        <v>10</v>
      </c>
      <c r="E160">
        <v>27</v>
      </c>
      <c r="F160">
        <v>4</v>
      </c>
      <c r="G160">
        <v>800</v>
      </c>
      <c r="H160" t="s">
        <v>313</v>
      </c>
    </row>
    <row r="161" spans="1:8" x14ac:dyDescent="0.25">
      <c r="A161" t="s">
        <v>314</v>
      </c>
      <c r="B161" t="s">
        <v>15</v>
      </c>
      <c r="C161" t="s">
        <v>9</v>
      </c>
      <c r="D161" t="s">
        <v>10</v>
      </c>
      <c r="E161">
        <v>22</v>
      </c>
      <c r="F161">
        <v>77</v>
      </c>
      <c r="G161">
        <v>30000</v>
      </c>
      <c r="H161" t="s">
        <v>200</v>
      </c>
    </row>
    <row r="162" spans="1:8" x14ac:dyDescent="0.25">
      <c r="A162" t="s">
        <v>315</v>
      </c>
      <c r="B162" t="s">
        <v>52</v>
      </c>
      <c r="C162" t="s">
        <v>9</v>
      </c>
      <c r="D162" t="s">
        <v>46</v>
      </c>
      <c r="E162">
        <v>177</v>
      </c>
      <c r="F162">
        <v>18</v>
      </c>
      <c r="G162">
        <v>30000</v>
      </c>
      <c r="H162" t="s">
        <v>230</v>
      </c>
    </row>
    <row r="163" spans="1:8" x14ac:dyDescent="0.25">
      <c r="A163" t="s">
        <v>316</v>
      </c>
      <c r="B163" t="s">
        <v>15</v>
      </c>
      <c r="C163" t="s">
        <v>9</v>
      </c>
      <c r="D163" t="s">
        <v>31</v>
      </c>
      <c r="E163">
        <v>182</v>
      </c>
      <c r="F163">
        <v>14</v>
      </c>
      <c r="G163">
        <v>5000</v>
      </c>
      <c r="H163" t="s">
        <v>317</v>
      </c>
    </row>
    <row r="164" spans="1:8" x14ac:dyDescent="0.25">
      <c r="A164" t="s">
        <v>318</v>
      </c>
      <c r="B164" t="s">
        <v>52</v>
      </c>
      <c r="C164" t="s">
        <v>9</v>
      </c>
      <c r="D164" t="s">
        <v>14</v>
      </c>
      <c r="E164">
        <v>78</v>
      </c>
      <c r="F164">
        <v>101</v>
      </c>
      <c r="G164">
        <v>2500</v>
      </c>
      <c r="H164" t="s">
        <v>100</v>
      </c>
    </row>
    <row r="165" spans="1:8" x14ac:dyDescent="0.25">
      <c r="A165" t="s">
        <v>319</v>
      </c>
      <c r="B165" t="s">
        <v>96</v>
      </c>
      <c r="C165" t="s">
        <v>9</v>
      </c>
      <c r="D165" t="s">
        <v>31</v>
      </c>
      <c r="E165">
        <v>52</v>
      </c>
      <c r="F165">
        <v>115</v>
      </c>
      <c r="G165">
        <v>2500</v>
      </c>
      <c r="H165" t="s">
        <v>320</v>
      </c>
    </row>
    <row r="166" spans="1:8" x14ac:dyDescent="0.25">
      <c r="A166" t="s">
        <v>321</v>
      </c>
      <c r="B166" t="s">
        <v>15</v>
      </c>
      <c r="C166" t="s">
        <v>9</v>
      </c>
      <c r="D166" t="s">
        <v>74</v>
      </c>
      <c r="E166">
        <v>170</v>
      </c>
      <c r="F166">
        <v>115</v>
      </c>
      <c r="G166">
        <v>1200</v>
      </c>
      <c r="H166" t="s">
        <v>233</v>
      </c>
    </row>
    <row r="167" spans="1:8" x14ac:dyDescent="0.25">
      <c r="A167" t="s">
        <v>322</v>
      </c>
      <c r="B167" t="s">
        <v>49</v>
      </c>
      <c r="C167" t="s">
        <v>9</v>
      </c>
      <c r="D167" t="s">
        <v>74</v>
      </c>
      <c r="E167">
        <v>108</v>
      </c>
      <c r="F167">
        <v>95</v>
      </c>
      <c r="G167">
        <v>800</v>
      </c>
      <c r="H167" t="s">
        <v>323</v>
      </c>
    </row>
    <row r="168" spans="1:8" x14ac:dyDescent="0.25">
      <c r="A168" t="s">
        <v>324</v>
      </c>
      <c r="B168" t="s">
        <v>15</v>
      </c>
      <c r="C168" t="s">
        <v>9</v>
      </c>
      <c r="D168" t="s">
        <v>18</v>
      </c>
      <c r="E168">
        <v>126</v>
      </c>
      <c r="F168">
        <v>37</v>
      </c>
      <c r="G168">
        <v>55000</v>
      </c>
      <c r="H168" t="s">
        <v>268</v>
      </c>
    </row>
    <row r="169" spans="1:8" x14ac:dyDescent="0.25">
      <c r="A169" t="s">
        <v>325</v>
      </c>
      <c r="B169" t="s">
        <v>15</v>
      </c>
      <c r="C169" t="s">
        <v>9</v>
      </c>
      <c r="D169" t="s">
        <v>46</v>
      </c>
      <c r="E169">
        <v>75</v>
      </c>
      <c r="F169">
        <v>150</v>
      </c>
      <c r="G169">
        <v>500</v>
      </c>
      <c r="H169" t="s">
        <v>297</v>
      </c>
    </row>
    <row r="170" spans="1:8" x14ac:dyDescent="0.25">
      <c r="A170" t="s">
        <v>326</v>
      </c>
      <c r="B170" t="s">
        <v>15</v>
      </c>
      <c r="C170" t="s">
        <v>9</v>
      </c>
      <c r="D170" t="s">
        <v>74</v>
      </c>
      <c r="E170">
        <v>180</v>
      </c>
      <c r="F170">
        <v>149</v>
      </c>
      <c r="G170">
        <v>2500</v>
      </c>
      <c r="H170" t="s">
        <v>299</v>
      </c>
    </row>
    <row r="171" spans="1:8" x14ac:dyDescent="0.25">
      <c r="A171" t="s">
        <v>327</v>
      </c>
      <c r="B171" t="s">
        <v>96</v>
      </c>
      <c r="C171" t="s">
        <v>9</v>
      </c>
      <c r="D171" t="s">
        <v>46</v>
      </c>
      <c r="E171">
        <v>194</v>
      </c>
      <c r="F171">
        <v>124</v>
      </c>
      <c r="G171">
        <v>8000</v>
      </c>
      <c r="H171" t="s">
        <v>328</v>
      </c>
    </row>
    <row r="172" spans="1:8" x14ac:dyDescent="0.25">
      <c r="A172" t="s">
        <v>329</v>
      </c>
      <c r="B172" t="s">
        <v>15</v>
      </c>
      <c r="C172" t="s">
        <v>9</v>
      </c>
      <c r="D172" t="s">
        <v>74</v>
      </c>
      <c r="E172">
        <v>196</v>
      </c>
      <c r="F172">
        <v>28</v>
      </c>
      <c r="G172">
        <v>55000</v>
      </c>
      <c r="H172" t="s">
        <v>330</v>
      </c>
    </row>
    <row r="173" spans="1:8" x14ac:dyDescent="0.25">
      <c r="A173" t="s">
        <v>331</v>
      </c>
      <c r="B173" t="s">
        <v>8</v>
      </c>
      <c r="C173" t="s">
        <v>9</v>
      </c>
      <c r="D173" t="s">
        <v>46</v>
      </c>
      <c r="E173">
        <v>135</v>
      </c>
      <c r="F173">
        <v>89</v>
      </c>
      <c r="G173">
        <v>8000</v>
      </c>
      <c r="H173" t="s">
        <v>332</v>
      </c>
    </row>
    <row r="174" spans="1:8" x14ac:dyDescent="0.25">
      <c r="A174" t="s">
        <v>333</v>
      </c>
      <c r="B174" t="s">
        <v>13</v>
      </c>
      <c r="C174" t="s">
        <v>9</v>
      </c>
      <c r="D174" t="s">
        <v>10</v>
      </c>
      <c r="E174">
        <v>155</v>
      </c>
      <c r="F174">
        <v>141</v>
      </c>
      <c r="G174">
        <v>12000</v>
      </c>
      <c r="H174" t="s">
        <v>55</v>
      </c>
    </row>
    <row r="175" spans="1:8" x14ac:dyDescent="0.25">
      <c r="A175" t="s">
        <v>334</v>
      </c>
      <c r="B175" t="s">
        <v>25</v>
      </c>
      <c r="C175" t="s">
        <v>9</v>
      </c>
      <c r="D175" t="s">
        <v>46</v>
      </c>
      <c r="E175">
        <v>162</v>
      </c>
      <c r="F175">
        <v>148</v>
      </c>
      <c r="G175">
        <v>5000</v>
      </c>
      <c r="H175" t="s">
        <v>335</v>
      </c>
    </row>
    <row r="176" spans="1:8" x14ac:dyDescent="0.25">
      <c r="A176" t="s">
        <v>336</v>
      </c>
      <c r="B176" t="s">
        <v>11</v>
      </c>
      <c r="C176" t="s">
        <v>9</v>
      </c>
      <c r="D176" t="s">
        <v>14</v>
      </c>
      <c r="E176">
        <v>89</v>
      </c>
      <c r="F176">
        <v>96</v>
      </c>
      <c r="G176">
        <v>55000</v>
      </c>
      <c r="H176" t="s">
        <v>337</v>
      </c>
    </row>
    <row r="177" spans="1:8" x14ac:dyDescent="0.25">
      <c r="A177" t="s">
        <v>338</v>
      </c>
      <c r="B177" t="s">
        <v>13</v>
      </c>
      <c r="C177" t="s">
        <v>9</v>
      </c>
      <c r="D177" t="s">
        <v>34</v>
      </c>
      <c r="E177">
        <v>196</v>
      </c>
      <c r="F177">
        <v>135</v>
      </c>
      <c r="G177">
        <v>1500</v>
      </c>
      <c r="H177" t="s">
        <v>75</v>
      </c>
    </row>
    <row r="178" spans="1:8" x14ac:dyDescent="0.25">
      <c r="A178" t="s">
        <v>339</v>
      </c>
      <c r="B178" t="s">
        <v>13</v>
      </c>
      <c r="C178" t="s">
        <v>9</v>
      </c>
      <c r="D178" t="s">
        <v>46</v>
      </c>
      <c r="E178">
        <v>48</v>
      </c>
      <c r="F178">
        <v>124</v>
      </c>
      <c r="G178">
        <v>800</v>
      </c>
      <c r="H178" t="s">
        <v>340</v>
      </c>
    </row>
    <row r="179" spans="1:8" x14ac:dyDescent="0.25">
      <c r="A179" t="s">
        <v>341</v>
      </c>
      <c r="B179" t="s">
        <v>96</v>
      </c>
      <c r="C179" t="s">
        <v>9</v>
      </c>
      <c r="D179" t="s">
        <v>26</v>
      </c>
      <c r="E179">
        <v>133</v>
      </c>
      <c r="F179">
        <v>97</v>
      </c>
      <c r="G179">
        <v>30000</v>
      </c>
      <c r="H179" t="s">
        <v>342</v>
      </c>
    </row>
    <row r="180" spans="1:8" x14ac:dyDescent="0.25">
      <c r="A180" t="s">
        <v>343</v>
      </c>
      <c r="B180" t="s">
        <v>96</v>
      </c>
      <c r="C180" t="s">
        <v>9</v>
      </c>
      <c r="D180" t="s">
        <v>34</v>
      </c>
      <c r="E180">
        <v>112</v>
      </c>
      <c r="F180">
        <v>23</v>
      </c>
      <c r="G180">
        <v>30000</v>
      </c>
      <c r="H180" t="s">
        <v>176</v>
      </c>
    </row>
    <row r="181" spans="1:8" x14ac:dyDescent="0.25">
      <c r="A181" t="s">
        <v>344</v>
      </c>
      <c r="B181" t="s">
        <v>25</v>
      </c>
      <c r="C181" t="s">
        <v>9</v>
      </c>
      <c r="D181" t="s">
        <v>46</v>
      </c>
      <c r="E181">
        <v>193</v>
      </c>
      <c r="F181">
        <v>133</v>
      </c>
      <c r="G181">
        <v>500</v>
      </c>
      <c r="H181" t="s">
        <v>345</v>
      </c>
    </row>
    <row r="182" spans="1:8" x14ac:dyDescent="0.25">
      <c r="A182" t="s">
        <v>346</v>
      </c>
      <c r="B182" t="s">
        <v>13</v>
      </c>
      <c r="C182" t="s">
        <v>9</v>
      </c>
      <c r="D182" t="s">
        <v>16</v>
      </c>
      <c r="E182">
        <v>89</v>
      </c>
      <c r="F182">
        <v>90</v>
      </c>
      <c r="G182">
        <v>30000</v>
      </c>
      <c r="H182" t="s">
        <v>347</v>
      </c>
    </row>
    <row r="183" spans="1:8" x14ac:dyDescent="0.25">
      <c r="A183" t="s">
        <v>348</v>
      </c>
      <c r="B183" t="s">
        <v>11</v>
      </c>
      <c r="C183" t="s">
        <v>9</v>
      </c>
      <c r="D183" t="s">
        <v>14</v>
      </c>
      <c r="E183">
        <v>121</v>
      </c>
      <c r="F183">
        <v>140</v>
      </c>
      <c r="G183">
        <v>2500</v>
      </c>
      <c r="H183" t="s">
        <v>349</v>
      </c>
    </row>
    <row r="184" spans="1:8" x14ac:dyDescent="0.25">
      <c r="A184" t="s">
        <v>350</v>
      </c>
      <c r="B184" t="s">
        <v>25</v>
      </c>
      <c r="C184" t="s">
        <v>9</v>
      </c>
      <c r="D184" t="s">
        <v>18</v>
      </c>
      <c r="E184">
        <v>142</v>
      </c>
      <c r="F184">
        <v>31</v>
      </c>
      <c r="G184">
        <v>1500</v>
      </c>
      <c r="H184" t="s">
        <v>276</v>
      </c>
    </row>
    <row r="185" spans="1:8" x14ac:dyDescent="0.25">
      <c r="A185" t="s">
        <v>351</v>
      </c>
      <c r="B185" t="s">
        <v>17</v>
      </c>
      <c r="C185" t="s">
        <v>9</v>
      </c>
      <c r="D185" t="s">
        <v>18</v>
      </c>
      <c r="E185">
        <v>129</v>
      </c>
      <c r="F185">
        <v>80</v>
      </c>
      <c r="G185">
        <v>500</v>
      </c>
      <c r="H185" t="s">
        <v>352</v>
      </c>
    </row>
    <row r="186" spans="1:8" x14ac:dyDescent="0.25">
      <c r="A186" t="s">
        <v>353</v>
      </c>
      <c r="B186" t="s">
        <v>25</v>
      </c>
      <c r="C186" t="s">
        <v>9</v>
      </c>
      <c r="D186" t="s">
        <v>16</v>
      </c>
      <c r="E186">
        <v>70</v>
      </c>
      <c r="F186">
        <v>13</v>
      </c>
      <c r="G186">
        <v>1200</v>
      </c>
      <c r="H186" t="s">
        <v>345</v>
      </c>
    </row>
    <row r="187" spans="1:8" x14ac:dyDescent="0.25">
      <c r="A187" t="s">
        <v>354</v>
      </c>
      <c r="B187" t="s">
        <v>11</v>
      </c>
      <c r="C187" t="s">
        <v>9</v>
      </c>
      <c r="D187" t="s">
        <v>74</v>
      </c>
      <c r="E187">
        <v>184</v>
      </c>
      <c r="F187">
        <v>144</v>
      </c>
      <c r="G187">
        <v>800</v>
      </c>
      <c r="H187" t="s">
        <v>355</v>
      </c>
    </row>
    <row r="188" spans="1:8" x14ac:dyDescent="0.25">
      <c r="A188" t="s">
        <v>356</v>
      </c>
      <c r="B188" t="s">
        <v>15</v>
      </c>
      <c r="C188" t="s">
        <v>9</v>
      </c>
      <c r="D188" t="s">
        <v>16</v>
      </c>
      <c r="E188">
        <v>174</v>
      </c>
      <c r="F188">
        <v>88</v>
      </c>
      <c r="G188">
        <v>2500</v>
      </c>
      <c r="H188" t="s">
        <v>357</v>
      </c>
    </row>
    <row r="189" spans="1:8" x14ac:dyDescent="0.25">
      <c r="A189" t="s">
        <v>358</v>
      </c>
      <c r="B189" t="s">
        <v>49</v>
      </c>
      <c r="C189" t="s">
        <v>9</v>
      </c>
      <c r="D189" t="s">
        <v>34</v>
      </c>
      <c r="E189">
        <v>48</v>
      </c>
      <c r="F189">
        <v>63</v>
      </c>
      <c r="G189">
        <v>500</v>
      </c>
      <c r="H189" t="s">
        <v>53</v>
      </c>
    </row>
    <row r="190" spans="1:8" x14ac:dyDescent="0.25">
      <c r="A190" t="s">
        <v>359</v>
      </c>
      <c r="B190" t="s">
        <v>39</v>
      </c>
      <c r="C190" t="s">
        <v>9</v>
      </c>
      <c r="D190" t="s">
        <v>14</v>
      </c>
      <c r="E190">
        <v>76</v>
      </c>
      <c r="F190">
        <v>150</v>
      </c>
      <c r="G190">
        <v>800</v>
      </c>
      <c r="H190" t="s">
        <v>360</v>
      </c>
    </row>
    <row r="191" spans="1:8" x14ac:dyDescent="0.25">
      <c r="A191" t="s">
        <v>361</v>
      </c>
      <c r="B191" t="s">
        <v>25</v>
      </c>
      <c r="C191" t="s">
        <v>9</v>
      </c>
      <c r="D191" t="s">
        <v>14</v>
      </c>
      <c r="E191">
        <v>61</v>
      </c>
      <c r="F191">
        <v>49</v>
      </c>
      <c r="G191">
        <v>30000</v>
      </c>
      <c r="H191" t="s">
        <v>261</v>
      </c>
    </row>
    <row r="192" spans="1:8" x14ac:dyDescent="0.25">
      <c r="A192" t="s">
        <v>362</v>
      </c>
      <c r="B192" t="s">
        <v>49</v>
      </c>
      <c r="C192" t="s">
        <v>9</v>
      </c>
      <c r="D192" t="s">
        <v>34</v>
      </c>
      <c r="E192">
        <v>170</v>
      </c>
      <c r="F192">
        <v>130</v>
      </c>
      <c r="G192">
        <v>1200</v>
      </c>
      <c r="H192" t="s">
        <v>363</v>
      </c>
    </row>
    <row r="193" spans="1:8" x14ac:dyDescent="0.25">
      <c r="A193" t="s">
        <v>364</v>
      </c>
      <c r="B193" t="s">
        <v>15</v>
      </c>
      <c r="C193" t="s">
        <v>9</v>
      </c>
      <c r="D193" t="s">
        <v>46</v>
      </c>
      <c r="E193">
        <v>36</v>
      </c>
      <c r="F193">
        <v>90</v>
      </c>
      <c r="G193">
        <v>8000</v>
      </c>
      <c r="H193" t="s">
        <v>365</v>
      </c>
    </row>
    <row r="194" spans="1:8" x14ac:dyDescent="0.25">
      <c r="A194" t="s">
        <v>366</v>
      </c>
      <c r="B194" t="s">
        <v>52</v>
      </c>
      <c r="C194" t="s">
        <v>9</v>
      </c>
      <c r="D194" t="s">
        <v>10</v>
      </c>
      <c r="E194">
        <v>62</v>
      </c>
      <c r="F194">
        <v>25</v>
      </c>
      <c r="G194">
        <v>5000</v>
      </c>
      <c r="H194" t="s">
        <v>367</v>
      </c>
    </row>
    <row r="195" spans="1:8" x14ac:dyDescent="0.25">
      <c r="A195" t="s">
        <v>368</v>
      </c>
      <c r="B195" t="s">
        <v>11</v>
      </c>
      <c r="C195" t="s">
        <v>9</v>
      </c>
      <c r="D195" t="s">
        <v>14</v>
      </c>
      <c r="E195">
        <v>70</v>
      </c>
      <c r="F195">
        <v>40</v>
      </c>
      <c r="G195">
        <v>500</v>
      </c>
      <c r="H195" t="s">
        <v>369</v>
      </c>
    </row>
    <row r="196" spans="1:8" x14ac:dyDescent="0.25">
      <c r="A196" t="s">
        <v>370</v>
      </c>
      <c r="B196" t="s">
        <v>39</v>
      </c>
      <c r="C196" t="s">
        <v>9</v>
      </c>
      <c r="D196" t="s">
        <v>16</v>
      </c>
      <c r="E196">
        <v>82</v>
      </c>
      <c r="F196">
        <v>35</v>
      </c>
      <c r="G196">
        <v>1200</v>
      </c>
      <c r="H196" t="s">
        <v>330</v>
      </c>
    </row>
    <row r="197" spans="1:8" x14ac:dyDescent="0.25">
      <c r="A197" t="s">
        <v>371</v>
      </c>
      <c r="B197" t="s">
        <v>13</v>
      </c>
      <c r="C197" t="s">
        <v>9</v>
      </c>
      <c r="D197" t="s">
        <v>26</v>
      </c>
      <c r="E197">
        <v>164</v>
      </c>
      <c r="F197">
        <v>28</v>
      </c>
      <c r="G197">
        <v>30000</v>
      </c>
      <c r="H197" t="s">
        <v>97</v>
      </c>
    </row>
    <row r="198" spans="1:8" x14ac:dyDescent="0.25">
      <c r="A198" t="s">
        <v>372</v>
      </c>
      <c r="B198" t="s">
        <v>11</v>
      </c>
      <c r="C198" t="s">
        <v>9</v>
      </c>
      <c r="D198" t="s">
        <v>18</v>
      </c>
      <c r="E198">
        <v>193</v>
      </c>
      <c r="F198">
        <v>111</v>
      </c>
      <c r="G198">
        <v>5000</v>
      </c>
      <c r="H198" t="s">
        <v>259</v>
      </c>
    </row>
    <row r="199" spans="1:8" x14ac:dyDescent="0.25">
      <c r="A199" t="s">
        <v>373</v>
      </c>
      <c r="B199" t="s">
        <v>13</v>
      </c>
      <c r="C199" t="s">
        <v>9</v>
      </c>
      <c r="D199" t="s">
        <v>12</v>
      </c>
      <c r="E199">
        <v>62</v>
      </c>
      <c r="F199">
        <v>5</v>
      </c>
      <c r="G199">
        <v>1200</v>
      </c>
      <c r="H199" t="s">
        <v>374</v>
      </c>
    </row>
    <row r="200" spans="1:8" x14ac:dyDescent="0.25">
      <c r="A200" t="s">
        <v>375</v>
      </c>
      <c r="B200" t="s">
        <v>49</v>
      </c>
      <c r="C200" t="s">
        <v>9</v>
      </c>
      <c r="D200" t="s">
        <v>18</v>
      </c>
      <c r="E200">
        <v>123</v>
      </c>
      <c r="F200">
        <v>79</v>
      </c>
      <c r="G200">
        <v>2500</v>
      </c>
      <c r="H200" t="s">
        <v>108</v>
      </c>
    </row>
    <row r="201" spans="1:8" x14ac:dyDescent="0.25">
      <c r="A201" t="s">
        <v>376</v>
      </c>
      <c r="B201" t="s">
        <v>52</v>
      </c>
      <c r="C201" t="s">
        <v>9</v>
      </c>
      <c r="D201" t="s">
        <v>18</v>
      </c>
      <c r="E201">
        <v>160</v>
      </c>
      <c r="F201">
        <v>84</v>
      </c>
      <c r="G201">
        <v>800</v>
      </c>
      <c r="H201" t="s">
        <v>377</v>
      </c>
    </row>
    <row r="202" spans="1:8" x14ac:dyDescent="0.25">
      <c r="A202" t="s">
        <v>378</v>
      </c>
      <c r="B202" t="s">
        <v>96</v>
      </c>
      <c r="C202" t="s">
        <v>9</v>
      </c>
      <c r="D202" t="s">
        <v>74</v>
      </c>
      <c r="E202">
        <v>161</v>
      </c>
      <c r="F202">
        <v>139</v>
      </c>
      <c r="G202">
        <v>5000</v>
      </c>
      <c r="H202" t="s">
        <v>216</v>
      </c>
    </row>
    <row r="203" spans="1:8" x14ac:dyDescent="0.25">
      <c r="A203" t="s">
        <v>379</v>
      </c>
      <c r="B203" t="s">
        <v>8</v>
      </c>
      <c r="C203" t="s">
        <v>9</v>
      </c>
      <c r="D203" t="s">
        <v>74</v>
      </c>
      <c r="E203">
        <v>86</v>
      </c>
      <c r="F203">
        <v>114</v>
      </c>
      <c r="G203">
        <v>800</v>
      </c>
      <c r="H203" t="s">
        <v>380</v>
      </c>
    </row>
    <row r="204" spans="1:8" x14ac:dyDescent="0.25">
      <c r="A204" t="s">
        <v>381</v>
      </c>
      <c r="B204" t="s">
        <v>25</v>
      </c>
      <c r="C204" t="s">
        <v>9</v>
      </c>
      <c r="D204" t="s">
        <v>74</v>
      </c>
      <c r="E204">
        <v>161</v>
      </c>
      <c r="F204">
        <v>65</v>
      </c>
      <c r="G204">
        <v>30000</v>
      </c>
      <c r="H204" t="s">
        <v>382</v>
      </c>
    </row>
    <row r="205" spans="1:8" x14ac:dyDescent="0.25">
      <c r="A205" t="s">
        <v>383</v>
      </c>
      <c r="B205" t="s">
        <v>15</v>
      </c>
      <c r="C205" t="s">
        <v>9</v>
      </c>
      <c r="D205" t="s">
        <v>31</v>
      </c>
      <c r="E205">
        <v>193</v>
      </c>
      <c r="F205">
        <v>20</v>
      </c>
      <c r="G205">
        <v>12000</v>
      </c>
      <c r="H205" t="s">
        <v>384</v>
      </c>
    </row>
    <row r="206" spans="1:8" x14ac:dyDescent="0.25">
      <c r="A206" t="s">
        <v>385</v>
      </c>
      <c r="B206" t="s">
        <v>13</v>
      </c>
      <c r="C206" t="s">
        <v>9</v>
      </c>
      <c r="D206" t="s">
        <v>26</v>
      </c>
      <c r="E206">
        <v>136</v>
      </c>
      <c r="F206">
        <v>31</v>
      </c>
      <c r="G206">
        <v>2500</v>
      </c>
      <c r="H206" t="s">
        <v>299</v>
      </c>
    </row>
    <row r="207" spans="1:8" x14ac:dyDescent="0.25">
      <c r="A207" t="s">
        <v>386</v>
      </c>
      <c r="B207" t="s">
        <v>49</v>
      </c>
      <c r="C207" t="s">
        <v>9</v>
      </c>
      <c r="D207" t="s">
        <v>12</v>
      </c>
      <c r="E207">
        <v>174</v>
      </c>
      <c r="F207">
        <v>148</v>
      </c>
      <c r="G207">
        <v>500</v>
      </c>
      <c r="H207" t="s">
        <v>387</v>
      </c>
    </row>
    <row r="208" spans="1:8" x14ac:dyDescent="0.25">
      <c r="A208" t="s">
        <v>388</v>
      </c>
      <c r="B208" t="s">
        <v>8</v>
      </c>
      <c r="C208" t="s">
        <v>9</v>
      </c>
      <c r="D208" t="s">
        <v>46</v>
      </c>
      <c r="E208">
        <v>115</v>
      </c>
      <c r="F208">
        <v>28</v>
      </c>
      <c r="G208">
        <v>8000</v>
      </c>
      <c r="H208" t="s">
        <v>183</v>
      </c>
    </row>
    <row r="209" spans="1:8" x14ac:dyDescent="0.25">
      <c r="A209" t="s">
        <v>389</v>
      </c>
      <c r="B209" t="s">
        <v>13</v>
      </c>
      <c r="C209" t="s">
        <v>9</v>
      </c>
      <c r="D209" t="s">
        <v>10</v>
      </c>
      <c r="E209">
        <v>173</v>
      </c>
      <c r="F209">
        <v>27</v>
      </c>
      <c r="G209">
        <v>30000</v>
      </c>
      <c r="H209" t="s">
        <v>345</v>
      </c>
    </row>
    <row r="210" spans="1:8" x14ac:dyDescent="0.25">
      <c r="A210" t="s">
        <v>390</v>
      </c>
      <c r="B210" t="s">
        <v>13</v>
      </c>
      <c r="C210" t="s">
        <v>9</v>
      </c>
      <c r="D210" t="s">
        <v>18</v>
      </c>
      <c r="E210">
        <v>158</v>
      </c>
      <c r="F210">
        <v>63</v>
      </c>
      <c r="G210">
        <v>2500</v>
      </c>
      <c r="H210" t="s">
        <v>391</v>
      </c>
    </row>
    <row r="211" spans="1:8" x14ac:dyDescent="0.25">
      <c r="A211" t="s">
        <v>392</v>
      </c>
      <c r="B211" t="s">
        <v>11</v>
      </c>
      <c r="C211" t="s">
        <v>9</v>
      </c>
      <c r="D211" t="s">
        <v>31</v>
      </c>
      <c r="E211">
        <v>172</v>
      </c>
      <c r="F211">
        <v>48</v>
      </c>
      <c r="G211">
        <v>30000</v>
      </c>
      <c r="H211" t="s">
        <v>161</v>
      </c>
    </row>
    <row r="212" spans="1:8" x14ac:dyDescent="0.25">
      <c r="A212" t="s">
        <v>393</v>
      </c>
      <c r="B212" t="s">
        <v>25</v>
      </c>
      <c r="C212" t="s">
        <v>9</v>
      </c>
      <c r="D212" t="s">
        <v>16</v>
      </c>
      <c r="E212">
        <v>26</v>
      </c>
      <c r="F212">
        <v>29</v>
      </c>
      <c r="G212">
        <v>500</v>
      </c>
      <c r="H212" t="s">
        <v>394</v>
      </c>
    </row>
    <row r="213" spans="1:8" x14ac:dyDescent="0.25">
      <c r="A213" t="s">
        <v>395</v>
      </c>
      <c r="B213" t="s">
        <v>8</v>
      </c>
      <c r="C213" t="s">
        <v>9</v>
      </c>
      <c r="D213" t="s">
        <v>46</v>
      </c>
      <c r="E213">
        <v>199</v>
      </c>
      <c r="F213">
        <v>35</v>
      </c>
      <c r="G213">
        <v>2500</v>
      </c>
      <c r="H213" t="s">
        <v>396</v>
      </c>
    </row>
    <row r="214" spans="1:8" x14ac:dyDescent="0.25">
      <c r="A214" t="s">
        <v>397</v>
      </c>
      <c r="B214" t="s">
        <v>96</v>
      </c>
      <c r="C214" t="s">
        <v>9</v>
      </c>
      <c r="D214" t="s">
        <v>12</v>
      </c>
      <c r="E214">
        <v>41</v>
      </c>
      <c r="F214">
        <v>59</v>
      </c>
      <c r="G214">
        <v>2500</v>
      </c>
      <c r="H214" t="s">
        <v>398</v>
      </c>
    </row>
    <row r="215" spans="1:8" x14ac:dyDescent="0.25">
      <c r="A215" t="s">
        <v>399</v>
      </c>
      <c r="B215" t="s">
        <v>13</v>
      </c>
      <c r="C215" t="s">
        <v>9</v>
      </c>
      <c r="D215" t="s">
        <v>34</v>
      </c>
      <c r="E215">
        <v>139</v>
      </c>
      <c r="F215">
        <v>58</v>
      </c>
      <c r="G215">
        <v>2500</v>
      </c>
      <c r="H215" t="s">
        <v>122</v>
      </c>
    </row>
    <row r="216" spans="1:8" x14ac:dyDescent="0.25">
      <c r="A216" t="s">
        <v>400</v>
      </c>
      <c r="B216" t="s">
        <v>11</v>
      </c>
      <c r="C216" t="s">
        <v>9</v>
      </c>
      <c r="D216" t="s">
        <v>14</v>
      </c>
      <c r="E216">
        <v>62</v>
      </c>
      <c r="F216">
        <v>114</v>
      </c>
      <c r="G216">
        <v>8000</v>
      </c>
      <c r="H216" t="s">
        <v>401</v>
      </c>
    </row>
    <row r="217" spans="1:8" x14ac:dyDescent="0.25">
      <c r="A217" t="s">
        <v>402</v>
      </c>
      <c r="B217" t="s">
        <v>13</v>
      </c>
      <c r="C217" t="s">
        <v>9</v>
      </c>
      <c r="D217" t="s">
        <v>34</v>
      </c>
      <c r="E217">
        <v>55</v>
      </c>
      <c r="F217">
        <v>97</v>
      </c>
      <c r="G217">
        <v>55000</v>
      </c>
      <c r="H217" t="s">
        <v>403</v>
      </c>
    </row>
    <row r="218" spans="1:8" x14ac:dyDescent="0.25">
      <c r="A218" t="s">
        <v>404</v>
      </c>
      <c r="B218" t="s">
        <v>39</v>
      </c>
      <c r="C218" t="s">
        <v>9</v>
      </c>
      <c r="D218" t="s">
        <v>18</v>
      </c>
      <c r="E218">
        <v>160</v>
      </c>
      <c r="F218">
        <v>129</v>
      </c>
      <c r="G218">
        <v>1200</v>
      </c>
      <c r="H218" t="s">
        <v>405</v>
      </c>
    </row>
    <row r="219" spans="1:8" x14ac:dyDescent="0.25">
      <c r="A219" t="s">
        <v>406</v>
      </c>
      <c r="B219" t="s">
        <v>17</v>
      </c>
      <c r="C219" t="s">
        <v>9</v>
      </c>
      <c r="D219" t="s">
        <v>34</v>
      </c>
      <c r="E219">
        <v>42</v>
      </c>
      <c r="F219">
        <v>140</v>
      </c>
      <c r="G219">
        <v>30000</v>
      </c>
      <c r="H219" t="s">
        <v>407</v>
      </c>
    </row>
    <row r="220" spans="1:8" x14ac:dyDescent="0.25">
      <c r="A220" t="s">
        <v>408</v>
      </c>
      <c r="B220" t="s">
        <v>49</v>
      </c>
      <c r="C220" t="s">
        <v>9</v>
      </c>
      <c r="D220" t="s">
        <v>10</v>
      </c>
      <c r="E220">
        <v>155</v>
      </c>
      <c r="F220">
        <v>108</v>
      </c>
      <c r="G220">
        <v>800</v>
      </c>
      <c r="H220" t="s">
        <v>409</v>
      </c>
    </row>
    <row r="221" spans="1:8" x14ac:dyDescent="0.25">
      <c r="A221" t="s">
        <v>410</v>
      </c>
      <c r="B221" t="s">
        <v>39</v>
      </c>
      <c r="C221" t="s">
        <v>9</v>
      </c>
      <c r="D221" t="s">
        <v>74</v>
      </c>
      <c r="E221">
        <v>34</v>
      </c>
      <c r="F221">
        <v>10</v>
      </c>
      <c r="G221">
        <v>800</v>
      </c>
      <c r="H221" t="s">
        <v>411</v>
      </c>
    </row>
    <row r="222" spans="1:8" x14ac:dyDescent="0.25">
      <c r="A222" t="s">
        <v>412</v>
      </c>
      <c r="B222" t="s">
        <v>8</v>
      </c>
      <c r="C222" t="s">
        <v>9</v>
      </c>
      <c r="D222" t="s">
        <v>26</v>
      </c>
      <c r="E222">
        <v>73</v>
      </c>
      <c r="F222">
        <v>62</v>
      </c>
      <c r="G222">
        <v>1200</v>
      </c>
      <c r="H222" t="s">
        <v>413</v>
      </c>
    </row>
    <row r="223" spans="1:8" x14ac:dyDescent="0.25">
      <c r="A223" t="s">
        <v>414</v>
      </c>
      <c r="B223" t="s">
        <v>39</v>
      </c>
      <c r="C223" t="s">
        <v>9</v>
      </c>
      <c r="D223" t="s">
        <v>26</v>
      </c>
      <c r="E223">
        <v>53</v>
      </c>
      <c r="F223">
        <v>20</v>
      </c>
      <c r="G223">
        <v>800</v>
      </c>
      <c r="H223" t="s">
        <v>120</v>
      </c>
    </row>
    <row r="224" spans="1:8" x14ac:dyDescent="0.25">
      <c r="A224" t="s">
        <v>415</v>
      </c>
      <c r="B224" t="s">
        <v>52</v>
      </c>
      <c r="C224" t="s">
        <v>9</v>
      </c>
      <c r="D224" t="s">
        <v>16</v>
      </c>
      <c r="E224">
        <v>127</v>
      </c>
      <c r="F224">
        <v>70</v>
      </c>
      <c r="G224">
        <v>2500</v>
      </c>
      <c r="H224" t="s">
        <v>167</v>
      </c>
    </row>
    <row r="225" spans="1:8" x14ac:dyDescent="0.25">
      <c r="A225" t="s">
        <v>416</v>
      </c>
      <c r="B225" t="s">
        <v>49</v>
      </c>
      <c r="C225" t="s">
        <v>9</v>
      </c>
      <c r="D225" t="s">
        <v>46</v>
      </c>
      <c r="E225">
        <v>174</v>
      </c>
      <c r="F225">
        <v>112</v>
      </c>
      <c r="G225">
        <v>1500</v>
      </c>
      <c r="H225" t="s">
        <v>417</v>
      </c>
    </row>
    <row r="226" spans="1:8" x14ac:dyDescent="0.25">
      <c r="A226" t="s">
        <v>418</v>
      </c>
      <c r="B226" t="s">
        <v>96</v>
      </c>
      <c r="C226" t="s">
        <v>9</v>
      </c>
      <c r="D226" t="s">
        <v>18</v>
      </c>
      <c r="E226">
        <v>96</v>
      </c>
      <c r="F226">
        <v>22</v>
      </c>
      <c r="G226">
        <v>55000</v>
      </c>
      <c r="H226" t="s">
        <v>278</v>
      </c>
    </row>
    <row r="227" spans="1:8" x14ac:dyDescent="0.25">
      <c r="A227" t="s">
        <v>419</v>
      </c>
      <c r="B227" t="s">
        <v>52</v>
      </c>
      <c r="C227" t="s">
        <v>9</v>
      </c>
      <c r="D227" t="s">
        <v>26</v>
      </c>
      <c r="E227">
        <v>49</v>
      </c>
      <c r="F227">
        <v>2</v>
      </c>
      <c r="G227">
        <v>12000</v>
      </c>
      <c r="H227" t="s">
        <v>420</v>
      </c>
    </row>
    <row r="228" spans="1:8" x14ac:dyDescent="0.25">
      <c r="A228" t="s">
        <v>421</v>
      </c>
      <c r="B228" t="s">
        <v>96</v>
      </c>
      <c r="C228" t="s">
        <v>9</v>
      </c>
      <c r="D228" t="s">
        <v>26</v>
      </c>
      <c r="E228">
        <v>169</v>
      </c>
      <c r="F228">
        <v>59</v>
      </c>
      <c r="G228">
        <v>55000</v>
      </c>
      <c r="H228" t="s">
        <v>250</v>
      </c>
    </row>
    <row r="229" spans="1:8" x14ac:dyDescent="0.25">
      <c r="A229" t="s">
        <v>422</v>
      </c>
      <c r="B229" t="s">
        <v>39</v>
      </c>
      <c r="C229" t="s">
        <v>9</v>
      </c>
      <c r="D229" t="s">
        <v>12</v>
      </c>
      <c r="E229">
        <v>40</v>
      </c>
      <c r="F229">
        <v>149</v>
      </c>
      <c r="G229">
        <v>8000</v>
      </c>
      <c r="H229" t="s">
        <v>181</v>
      </c>
    </row>
    <row r="230" spans="1:8" x14ac:dyDescent="0.25">
      <c r="A230" t="s">
        <v>423</v>
      </c>
      <c r="B230" t="s">
        <v>49</v>
      </c>
      <c r="C230" t="s">
        <v>9</v>
      </c>
      <c r="D230" t="s">
        <v>12</v>
      </c>
      <c r="E230">
        <v>129</v>
      </c>
      <c r="F230">
        <v>89</v>
      </c>
      <c r="G230">
        <v>30000</v>
      </c>
      <c r="H230" t="s">
        <v>196</v>
      </c>
    </row>
    <row r="231" spans="1:8" x14ac:dyDescent="0.25">
      <c r="A231" t="s">
        <v>424</v>
      </c>
      <c r="B231" t="s">
        <v>25</v>
      </c>
      <c r="C231" t="s">
        <v>9</v>
      </c>
      <c r="D231" t="s">
        <v>18</v>
      </c>
      <c r="E231">
        <v>140</v>
      </c>
      <c r="F231">
        <v>92</v>
      </c>
      <c r="G231">
        <v>1500</v>
      </c>
      <c r="H231" t="s">
        <v>425</v>
      </c>
    </row>
    <row r="232" spans="1:8" x14ac:dyDescent="0.25">
      <c r="A232" t="s">
        <v>426</v>
      </c>
      <c r="B232" t="s">
        <v>8</v>
      </c>
      <c r="C232" t="s">
        <v>9</v>
      </c>
      <c r="D232" t="s">
        <v>10</v>
      </c>
      <c r="E232">
        <v>195</v>
      </c>
      <c r="F232">
        <v>59</v>
      </c>
      <c r="G232">
        <v>500</v>
      </c>
      <c r="H232" t="s">
        <v>427</v>
      </c>
    </row>
    <row r="233" spans="1:8" x14ac:dyDescent="0.25">
      <c r="A233" t="s">
        <v>428</v>
      </c>
      <c r="B233" t="s">
        <v>11</v>
      </c>
      <c r="C233" t="s">
        <v>9</v>
      </c>
      <c r="D233" t="s">
        <v>12</v>
      </c>
      <c r="E233">
        <v>140</v>
      </c>
      <c r="F233">
        <v>109</v>
      </c>
      <c r="G233">
        <v>1500</v>
      </c>
      <c r="H233" t="s">
        <v>145</v>
      </c>
    </row>
    <row r="234" spans="1:8" x14ac:dyDescent="0.25">
      <c r="A234" t="s">
        <v>429</v>
      </c>
      <c r="B234" t="s">
        <v>96</v>
      </c>
      <c r="C234" t="s">
        <v>9</v>
      </c>
      <c r="D234" t="s">
        <v>16</v>
      </c>
      <c r="E234">
        <v>133</v>
      </c>
      <c r="F234">
        <v>115</v>
      </c>
      <c r="G234">
        <v>800</v>
      </c>
      <c r="H234" t="s">
        <v>299</v>
      </c>
    </row>
    <row r="235" spans="1:8" x14ac:dyDescent="0.25">
      <c r="A235" t="s">
        <v>430</v>
      </c>
      <c r="B235" t="s">
        <v>39</v>
      </c>
      <c r="C235" t="s">
        <v>9</v>
      </c>
      <c r="D235" t="s">
        <v>14</v>
      </c>
      <c r="E235">
        <v>196</v>
      </c>
      <c r="F235">
        <v>81</v>
      </c>
      <c r="G235">
        <v>1500</v>
      </c>
      <c r="H235" t="s">
        <v>431</v>
      </c>
    </row>
    <row r="236" spans="1:8" x14ac:dyDescent="0.25">
      <c r="A236" t="s">
        <v>432</v>
      </c>
      <c r="B236" t="s">
        <v>39</v>
      </c>
      <c r="C236" t="s">
        <v>9</v>
      </c>
      <c r="D236" t="s">
        <v>12</v>
      </c>
      <c r="E236">
        <v>39</v>
      </c>
      <c r="F236">
        <v>89</v>
      </c>
      <c r="G236">
        <v>800</v>
      </c>
      <c r="H236" t="s">
        <v>433</v>
      </c>
    </row>
    <row r="237" spans="1:8" x14ac:dyDescent="0.25">
      <c r="A237" t="s">
        <v>434</v>
      </c>
      <c r="B237" t="s">
        <v>13</v>
      </c>
      <c r="C237" t="s">
        <v>9</v>
      </c>
      <c r="D237" t="s">
        <v>46</v>
      </c>
      <c r="E237">
        <v>22</v>
      </c>
      <c r="F237">
        <v>19</v>
      </c>
      <c r="G237">
        <v>55000</v>
      </c>
      <c r="H237" t="s">
        <v>367</v>
      </c>
    </row>
    <row r="238" spans="1:8" x14ac:dyDescent="0.25">
      <c r="A238" t="s">
        <v>435</v>
      </c>
      <c r="B238" t="s">
        <v>15</v>
      </c>
      <c r="C238" t="s">
        <v>9</v>
      </c>
      <c r="D238" t="s">
        <v>34</v>
      </c>
      <c r="E238">
        <v>153</v>
      </c>
      <c r="F238">
        <v>53</v>
      </c>
      <c r="G238">
        <v>12000</v>
      </c>
      <c r="H238" t="s">
        <v>436</v>
      </c>
    </row>
    <row r="239" spans="1:8" x14ac:dyDescent="0.25">
      <c r="A239" t="s">
        <v>437</v>
      </c>
      <c r="B239" t="s">
        <v>17</v>
      </c>
      <c r="C239" t="s">
        <v>9</v>
      </c>
      <c r="D239" t="s">
        <v>74</v>
      </c>
      <c r="E239">
        <v>44</v>
      </c>
      <c r="F239">
        <v>18</v>
      </c>
      <c r="G239">
        <v>12000</v>
      </c>
      <c r="H239" t="s">
        <v>438</v>
      </c>
    </row>
    <row r="240" spans="1:8" x14ac:dyDescent="0.25">
      <c r="A240" t="s">
        <v>439</v>
      </c>
      <c r="B240" t="s">
        <v>17</v>
      </c>
      <c r="C240" t="s">
        <v>9</v>
      </c>
      <c r="D240" t="s">
        <v>16</v>
      </c>
      <c r="E240">
        <v>177</v>
      </c>
      <c r="F240">
        <v>116</v>
      </c>
      <c r="G240">
        <v>30000</v>
      </c>
      <c r="H240" t="s">
        <v>440</v>
      </c>
    </row>
    <row r="241" spans="1:8" x14ac:dyDescent="0.25">
      <c r="A241" t="s">
        <v>441</v>
      </c>
      <c r="B241" t="s">
        <v>17</v>
      </c>
      <c r="C241" t="s">
        <v>9</v>
      </c>
      <c r="D241" t="s">
        <v>74</v>
      </c>
      <c r="E241">
        <v>173</v>
      </c>
      <c r="F241">
        <v>45</v>
      </c>
      <c r="G241">
        <v>800</v>
      </c>
      <c r="H241" t="s">
        <v>157</v>
      </c>
    </row>
    <row r="242" spans="1:8" x14ac:dyDescent="0.25">
      <c r="A242" t="s">
        <v>442</v>
      </c>
      <c r="B242" t="s">
        <v>13</v>
      </c>
      <c r="C242" t="s">
        <v>9</v>
      </c>
      <c r="D242" t="s">
        <v>34</v>
      </c>
      <c r="E242">
        <v>161</v>
      </c>
      <c r="F242">
        <v>31</v>
      </c>
      <c r="G242">
        <v>8000</v>
      </c>
      <c r="H242" t="s">
        <v>84</v>
      </c>
    </row>
    <row r="243" spans="1:8" x14ac:dyDescent="0.25">
      <c r="A243" t="s">
        <v>443</v>
      </c>
      <c r="B243" t="s">
        <v>39</v>
      </c>
      <c r="C243" t="s">
        <v>9</v>
      </c>
      <c r="D243" t="s">
        <v>74</v>
      </c>
      <c r="E243">
        <v>50</v>
      </c>
      <c r="F243">
        <v>139</v>
      </c>
      <c r="G243">
        <v>500</v>
      </c>
      <c r="H243" t="s">
        <v>23</v>
      </c>
    </row>
    <row r="244" spans="1:8" x14ac:dyDescent="0.25">
      <c r="A244" t="s">
        <v>444</v>
      </c>
      <c r="B244" t="s">
        <v>17</v>
      </c>
      <c r="C244" t="s">
        <v>9</v>
      </c>
      <c r="D244" t="s">
        <v>10</v>
      </c>
      <c r="E244">
        <v>166</v>
      </c>
      <c r="F244">
        <v>39</v>
      </c>
      <c r="G244">
        <v>800</v>
      </c>
      <c r="H244" t="s">
        <v>445</v>
      </c>
    </row>
    <row r="245" spans="1:8" x14ac:dyDescent="0.25">
      <c r="A245" t="s">
        <v>446</v>
      </c>
      <c r="B245" t="s">
        <v>49</v>
      </c>
      <c r="C245" t="s">
        <v>9</v>
      </c>
      <c r="D245" t="s">
        <v>31</v>
      </c>
      <c r="E245">
        <v>131</v>
      </c>
      <c r="F245">
        <v>143</v>
      </c>
      <c r="G245">
        <v>30000</v>
      </c>
      <c r="H245" t="s">
        <v>198</v>
      </c>
    </row>
    <row r="246" spans="1:8" x14ac:dyDescent="0.25">
      <c r="A246" t="s">
        <v>447</v>
      </c>
      <c r="B246" t="s">
        <v>13</v>
      </c>
      <c r="C246" t="s">
        <v>9</v>
      </c>
      <c r="D246" t="s">
        <v>16</v>
      </c>
      <c r="E246">
        <v>152</v>
      </c>
      <c r="F246">
        <v>46</v>
      </c>
      <c r="G246">
        <v>5000</v>
      </c>
      <c r="H246" t="s">
        <v>276</v>
      </c>
    </row>
    <row r="247" spans="1:8" x14ac:dyDescent="0.25">
      <c r="A247" t="s">
        <v>448</v>
      </c>
      <c r="B247" t="s">
        <v>11</v>
      </c>
      <c r="C247" t="s">
        <v>9</v>
      </c>
      <c r="D247" t="s">
        <v>46</v>
      </c>
      <c r="E247">
        <v>132</v>
      </c>
      <c r="F247">
        <v>123</v>
      </c>
      <c r="G247">
        <v>30000</v>
      </c>
      <c r="H247" t="s">
        <v>449</v>
      </c>
    </row>
    <row r="248" spans="1:8" x14ac:dyDescent="0.25">
      <c r="A248" t="s">
        <v>450</v>
      </c>
      <c r="B248" t="s">
        <v>11</v>
      </c>
      <c r="C248" t="s">
        <v>9</v>
      </c>
      <c r="D248" t="s">
        <v>46</v>
      </c>
      <c r="E248">
        <v>107</v>
      </c>
      <c r="F248">
        <v>80</v>
      </c>
      <c r="G248">
        <v>500</v>
      </c>
      <c r="H248" t="s">
        <v>451</v>
      </c>
    </row>
    <row r="249" spans="1:8" x14ac:dyDescent="0.25">
      <c r="A249" t="s">
        <v>452</v>
      </c>
      <c r="B249" t="s">
        <v>13</v>
      </c>
      <c r="C249" t="s">
        <v>9</v>
      </c>
      <c r="D249" t="s">
        <v>18</v>
      </c>
      <c r="E249">
        <v>175</v>
      </c>
      <c r="F249">
        <v>15</v>
      </c>
      <c r="G249">
        <v>800</v>
      </c>
      <c r="H249" t="s">
        <v>349</v>
      </c>
    </row>
    <row r="250" spans="1:8" x14ac:dyDescent="0.25">
      <c r="A250" t="s">
        <v>453</v>
      </c>
      <c r="B250" t="s">
        <v>25</v>
      </c>
      <c r="C250" t="s">
        <v>9</v>
      </c>
      <c r="D250" t="s">
        <v>74</v>
      </c>
      <c r="E250">
        <v>36</v>
      </c>
      <c r="F250">
        <v>2</v>
      </c>
      <c r="G250">
        <v>12000</v>
      </c>
      <c r="H250" t="s">
        <v>297</v>
      </c>
    </row>
    <row r="251" spans="1:8" x14ac:dyDescent="0.25">
      <c r="A251" t="s">
        <v>454</v>
      </c>
      <c r="B251" t="s">
        <v>25</v>
      </c>
      <c r="C251" t="s">
        <v>9</v>
      </c>
      <c r="D251" t="s">
        <v>46</v>
      </c>
      <c r="E251">
        <v>156</v>
      </c>
      <c r="F251">
        <v>66</v>
      </c>
      <c r="G251">
        <v>500</v>
      </c>
      <c r="H251" t="s">
        <v>455</v>
      </c>
    </row>
    <row r="252" spans="1:8" x14ac:dyDescent="0.25">
      <c r="A252" t="s">
        <v>456</v>
      </c>
      <c r="B252" t="s">
        <v>96</v>
      </c>
      <c r="C252" t="s">
        <v>9</v>
      </c>
      <c r="D252" t="s">
        <v>18</v>
      </c>
      <c r="E252">
        <v>38</v>
      </c>
      <c r="F252">
        <v>15</v>
      </c>
      <c r="G252">
        <v>30000</v>
      </c>
      <c r="H252" t="s">
        <v>287</v>
      </c>
    </row>
    <row r="253" spans="1:8" x14ac:dyDescent="0.25">
      <c r="A253" t="s">
        <v>457</v>
      </c>
      <c r="B253" t="s">
        <v>15</v>
      </c>
      <c r="C253" t="s">
        <v>9</v>
      </c>
      <c r="D253" t="s">
        <v>34</v>
      </c>
      <c r="E253">
        <v>74</v>
      </c>
      <c r="F253">
        <v>60</v>
      </c>
      <c r="G253">
        <v>12000</v>
      </c>
      <c r="H253" t="s">
        <v>425</v>
      </c>
    </row>
    <row r="254" spans="1:8" x14ac:dyDescent="0.25">
      <c r="A254" t="s">
        <v>458</v>
      </c>
      <c r="B254" t="s">
        <v>17</v>
      </c>
      <c r="C254" t="s">
        <v>9</v>
      </c>
      <c r="D254" t="s">
        <v>31</v>
      </c>
      <c r="E254">
        <v>91</v>
      </c>
      <c r="F254">
        <v>131</v>
      </c>
      <c r="G254">
        <v>30000</v>
      </c>
      <c r="H254" t="s">
        <v>459</v>
      </c>
    </row>
    <row r="255" spans="1:8" x14ac:dyDescent="0.25">
      <c r="A255" t="s">
        <v>460</v>
      </c>
      <c r="B255" t="s">
        <v>25</v>
      </c>
      <c r="C255" t="s">
        <v>9</v>
      </c>
      <c r="D255" t="s">
        <v>10</v>
      </c>
      <c r="E255">
        <v>125</v>
      </c>
      <c r="F255">
        <v>15</v>
      </c>
      <c r="G255">
        <v>1500</v>
      </c>
      <c r="H255" t="s">
        <v>461</v>
      </c>
    </row>
    <row r="256" spans="1:8" x14ac:dyDescent="0.25">
      <c r="A256" t="s">
        <v>462</v>
      </c>
      <c r="B256" t="s">
        <v>96</v>
      </c>
      <c r="C256" t="s">
        <v>9</v>
      </c>
      <c r="D256" t="s">
        <v>46</v>
      </c>
      <c r="E256">
        <v>88</v>
      </c>
      <c r="F256">
        <v>131</v>
      </c>
      <c r="G256">
        <v>1500</v>
      </c>
      <c r="H256" t="s">
        <v>463</v>
      </c>
    </row>
    <row r="257" spans="1:8" x14ac:dyDescent="0.25">
      <c r="A257" t="s">
        <v>464</v>
      </c>
      <c r="B257" t="s">
        <v>8</v>
      </c>
      <c r="C257" t="s">
        <v>9</v>
      </c>
      <c r="D257" t="s">
        <v>10</v>
      </c>
      <c r="E257">
        <v>45</v>
      </c>
      <c r="F257">
        <v>55</v>
      </c>
      <c r="G257">
        <v>1500</v>
      </c>
      <c r="H257" t="s">
        <v>308</v>
      </c>
    </row>
    <row r="258" spans="1:8" x14ac:dyDescent="0.25">
      <c r="A258" t="s">
        <v>465</v>
      </c>
      <c r="B258" t="s">
        <v>15</v>
      </c>
      <c r="C258" t="s">
        <v>9</v>
      </c>
      <c r="D258" t="s">
        <v>16</v>
      </c>
      <c r="E258">
        <v>163</v>
      </c>
      <c r="F258">
        <v>135</v>
      </c>
      <c r="G258">
        <v>30000</v>
      </c>
      <c r="H258" t="s">
        <v>466</v>
      </c>
    </row>
    <row r="259" spans="1:8" x14ac:dyDescent="0.25">
      <c r="A259" t="s">
        <v>467</v>
      </c>
      <c r="B259" t="s">
        <v>96</v>
      </c>
      <c r="C259" t="s">
        <v>9</v>
      </c>
      <c r="D259" t="s">
        <v>12</v>
      </c>
      <c r="E259">
        <v>30</v>
      </c>
      <c r="F259">
        <v>49</v>
      </c>
      <c r="G259">
        <v>1200</v>
      </c>
      <c r="H259" t="s">
        <v>67</v>
      </c>
    </row>
    <row r="260" spans="1:8" x14ac:dyDescent="0.25">
      <c r="A260" t="s">
        <v>468</v>
      </c>
      <c r="B260" t="s">
        <v>25</v>
      </c>
      <c r="C260" t="s">
        <v>9</v>
      </c>
      <c r="D260" t="s">
        <v>46</v>
      </c>
      <c r="E260">
        <v>41</v>
      </c>
      <c r="F260">
        <v>83</v>
      </c>
      <c r="G260">
        <v>1500</v>
      </c>
      <c r="H260" t="s">
        <v>469</v>
      </c>
    </row>
    <row r="261" spans="1:8" x14ac:dyDescent="0.25">
      <c r="A261" t="s">
        <v>470</v>
      </c>
      <c r="B261" t="s">
        <v>15</v>
      </c>
      <c r="C261" t="s">
        <v>9</v>
      </c>
      <c r="D261" t="s">
        <v>12</v>
      </c>
      <c r="E261">
        <v>42</v>
      </c>
      <c r="F261">
        <v>0</v>
      </c>
      <c r="G261">
        <v>500</v>
      </c>
      <c r="H261" t="s">
        <v>471</v>
      </c>
    </row>
    <row r="262" spans="1:8" x14ac:dyDescent="0.25">
      <c r="A262" t="s">
        <v>472</v>
      </c>
      <c r="B262" t="s">
        <v>13</v>
      </c>
      <c r="C262" t="s">
        <v>9</v>
      </c>
      <c r="D262" t="s">
        <v>18</v>
      </c>
      <c r="E262">
        <v>194</v>
      </c>
      <c r="F262">
        <v>6</v>
      </c>
      <c r="G262">
        <v>30000</v>
      </c>
      <c r="H262" t="s">
        <v>473</v>
      </c>
    </row>
    <row r="263" spans="1:8" x14ac:dyDescent="0.25">
      <c r="A263" t="s">
        <v>474</v>
      </c>
      <c r="B263" t="s">
        <v>39</v>
      </c>
      <c r="C263" t="s">
        <v>9</v>
      </c>
      <c r="D263" t="s">
        <v>46</v>
      </c>
      <c r="E263">
        <v>36</v>
      </c>
      <c r="F263">
        <v>114</v>
      </c>
      <c r="G263">
        <v>5000</v>
      </c>
      <c r="H263" t="s">
        <v>475</v>
      </c>
    </row>
    <row r="264" spans="1:8" x14ac:dyDescent="0.25">
      <c r="A264" t="s">
        <v>476</v>
      </c>
      <c r="B264" t="s">
        <v>52</v>
      </c>
      <c r="C264" t="s">
        <v>9</v>
      </c>
      <c r="D264" t="s">
        <v>31</v>
      </c>
      <c r="E264">
        <v>154</v>
      </c>
      <c r="F264">
        <v>145</v>
      </c>
      <c r="G264">
        <v>1500</v>
      </c>
      <c r="H264" t="s">
        <v>276</v>
      </c>
    </row>
    <row r="265" spans="1:8" x14ac:dyDescent="0.25">
      <c r="A265" t="s">
        <v>477</v>
      </c>
      <c r="B265" t="s">
        <v>15</v>
      </c>
      <c r="C265" t="s">
        <v>9</v>
      </c>
      <c r="D265" t="s">
        <v>34</v>
      </c>
      <c r="E265">
        <v>38</v>
      </c>
      <c r="F265">
        <v>9</v>
      </c>
      <c r="G265">
        <v>2500</v>
      </c>
      <c r="H265" t="s">
        <v>196</v>
      </c>
    </row>
    <row r="266" spans="1:8" x14ac:dyDescent="0.25">
      <c r="A266" t="s">
        <v>478</v>
      </c>
      <c r="B266" t="s">
        <v>96</v>
      </c>
      <c r="C266" t="s">
        <v>9</v>
      </c>
      <c r="D266" t="s">
        <v>10</v>
      </c>
      <c r="E266">
        <v>62</v>
      </c>
      <c r="F266">
        <v>75</v>
      </c>
      <c r="G266">
        <v>800</v>
      </c>
      <c r="H266" t="s">
        <v>479</v>
      </c>
    </row>
    <row r="267" spans="1:8" x14ac:dyDescent="0.25">
      <c r="A267" t="s">
        <v>480</v>
      </c>
      <c r="B267" t="s">
        <v>25</v>
      </c>
      <c r="C267" t="s">
        <v>9</v>
      </c>
      <c r="D267" t="s">
        <v>18</v>
      </c>
      <c r="E267">
        <v>104</v>
      </c>
      <c r="F267">
        <v>125</v>
      </c>
      <c r="G267">
        <v>500</v>
      </c>
      <c r="H267" t="s">
        <v>396</v>
      </c>
    </row>
    <row r="268" spans="1:8" x14ac:dyDescent="0.25">
      <c r="A268" t="s">
        <v>481</v>
      </c>
      <c r="B268" t="s">
        <v>39</v>
      </c>
      <c r="C268" t="s">
        <v>9</v>
      </c>
      <c r="D268" t="s">
        <v>14</v>
      </c>
      <c r="E268">
        <v>75</v>
      </c>
      <c r="F268">
        <v>111</v>
      </c>
      <c r="G268">
        <v>2500</v>
      </c>
      <c r="H268" t="s">
        <v>482</v>
      </c>
    </row>
    <row r="269" spans="1:8" x14ac:dyDescent="0.25">
      <c r="A269" t="s">
        <v>483</v>
      </c>
      <c r="B269" t="s">
        <v>49</v>
      </c>
      <c r="C269" t="s">
        <v>9</v>
      </c>
      <c r="D269" t="s">
        <v>74</v>
      </c>
      <c r="E269">
        <v>26</v>
      </c>
      <c r="F269">
        <v>45</v>
      </c>
      <c r="G269">
        <v>800</v>
      </c>
      <c r="H269" t="s">
        <v>484</v>
      </c>
    </row>
    <row r="270" spans="1:8" x14ac:dyDescent="0.25">
      <c r="A270" t="s">
        <v>485</v>
      </c>
      <c r="B270" t="s">
        <v>49</v>
      </c>
      <c r="C270" t="s">
        <v>9</v>
      </c>
      <c r="D270" t="s">
        <v>74</v>
      </c>
      <c r="E270">
        <v>50</v>
      </c>
      <c r="F270">
        <v>82</v>
      </c>
      <c r="G270">
        <v>500</v>
      </c>
      <c r="H270" t="s">
        <v>23</v>
      </c>
    </row>
    <row r="271" spans="1:8" x14ac:dyDescent="0.25">
      <c r="A271" t="s">
        <v>486</v>
      </c>
      <c r="B271" t="s">
        <v>25</v>
      </c>
      <c r="C271" t="s">
        <v>9</v>
      </c>
      <c r="D271" t="s">
        <v>26</v>
      </c>
      <c r="E271">
        <v>181</v>
      </c>
      <c r="F271">
        <v>60</v>
      </c>
      <c r="G271">
        <v>2500</v>
      </c>
      <c r="H271" t="s">
        <v>27</v>
      </c>
    </row>
    <row r="272" spans="1:8" x14ac:dyDescent="0.25">
      <c r="A272" t="s">
        <v>487</v>
      </c>
      <c r="B272" t="s">
        <v>17</v>
      </c>
      <c r="C272" t="s">
        <v>9</v>
      </c>
      <c r="D272" t="s">
        <v>26</v>
      </c>
      <c r="E272">
        <v>62</v>
      </c>
      <c r="F272">
        <v>44</v>
      </c>
      <c r="G272">
        <v>8000</v>
      </c>
      <c r="H272" t="s">
        <v>130</v>
      </c>
    </row>
    <row r="273" spans="1:8" x14ac:dyDescent="0.25">
      <c r="A273" t="s">
        <v>488</v>
      </c>
      <c r="B273" t="s">
        <v>39</v>
      </c>
      <c r="C273" t="s">
        <v>9</v>
      </c>
      <c r="D273" t="s">
        <v>16</v>
      </c>
      <c r="E273">
        <v>119</v>
      </c>
      <c r="F273">
        <v>33</v>
      </c>
      <c r="G273">
        <v>5000</v>
      </c>
      <c r="H273" t="s">
        <v>489</v>
      </c>
    </row>
    <row r="274" spans="1:8" x14ac:dyDescent="0.25">
      <c r="A274" t="s">
        <v>490</v>
      </c>
      <c r="B274" t="s">
        <v>11</v>
      </c>
      <c r="C274" t="s">
        <v>9</v>
      </c>
      <c r="D274" t="s">
        <v>12</v>
      </c>
      <c r="E274">
        <v>188</v>
      </c>
      <c r="F274">
        <v>79</v>
      </c>
      <c r="G274">
        <v>500</v>
      </c>
      <c r="H274" t="s">
        <v>233</v>
      </c>
    </row>
    <row r="275" spans="1:8" x14ac:dyDescent="0.25">
      <c r="A275" t="s">
        <v>491</v>
      </c>
      <c r="B275" t="s">
        <v>96</v>
      </c>
      <c r="C275" t="s">
        <v>9</v>
      </c>
      <c r="D275" t="s">
        <v>74</v>
      </c>
      <c r="E275">
        <v>71</v>
      </c>
      <c r="F275">
        <v>1</v>
      </c>
      <c r="G275">
        <v>30000</v>
      </c>
      <c r="H275" t="s">
        <v>492</v>
      </c>
    </row>
    <row r="276" spans="1:8" x14ac:dyDescent="0.25">
      <c r="A276" t="s">
        <v>493</v>
      </c>
      <c r="B276" t="s">
        <v>96</v>
      </c>
      <c r="C276" t="s">
        <v>9</v>
      </c>
      <c r="D276" t="s">
        <v>31</v>
      </c>
      <c r="E276">
        <v>161</v>
      </c>
      <c r="F276">
        <v>80</v>
      </c>
      <c r="G276">
        <v>1500</v>
      </c>
      <c r="H276" t="s">
        <v>494</v>
      </c>
    </row>
    <row r="277" spans="1:8" x14ac:dyDescent="0.25">
      <c r="A277" t="s">
        <v>495</v>
      </c>
      <c r="B277" t="s">
        <v>8</v>
      </c>
      <c r="C277" t="s">
        <v>9</v>
      </c>
      <c r="D277" t="s">
        <v>26</v>
      </c>
      <c r="E277">
        <v>43</v>
      </c>
      <c r="F277">
        <v>141</v>
      </c>
      <c r="G277">
        <v>800</v>
      </c>
      <c r="H277" t="s">
        <v>128</v>
      </c>
    </row>
    <row r="278" spans="1:8" x14ac:dyDescent="0.25">
      <c r="A278" t="s">
        <v>496</v>
      </c>
      <c r="B278" t="s">
        <v>39</v>
      </c>
      <c r="C278" t="s">
        <v>9</v>
      </c>
      <c r="D278" t="s">
        <v>18</v>
      </c>
      <c r="E278">
        <v>24</v>
      </c>
      <c r="F278">
        <v>107</v>
      </c>
      <c r="G278">
        <v>12000</v>
      </c>
      <c r="H278" t="s">
        <v>497</v>
      </c>
    </row>
    <row r="279" spans="1:8" x14ac:dyDescent="0.25">
      <c r="A279" t="s">
        <v>498</v>
      </c>
      <c r="B279" t="s">
        <v>11</v>
      </c>
      <c r="C279" t="s">
        <v>9</v>
      </c>
      <c r="D279" t="s">
        <v>18</v>
      </c>
      <c r="E279">
        <v>197</v>
      </c>
      <c r="F279">
        <v>12</v>
      </c>
      <c r="G279">
        <v>1500</v>
      </c>
      <c r="H279" t="s">
        <v>499</v>
      </c>
    </row>
    <row r="280" spans="1:8" x14ac:dyDescent="0.25">
      <c r="A280" t="s">
        <v>500</v>
      </c>
      <c r="B280" t="s">
        <v>17</v>
      </c>
      <c r="C280" t="s">
        <v>9</v>
      </c>
      <c r="D280" t="s">
        <v>16</v>
      </c>
      <c r="E280">
        <v>197</v>
      </c>
      <c r="F280">
        <v>16</v>
      </c>
      <c r="G280">
        <v>800</v>
      </c>
      <c r="H280" t="s">
        <v>159</v>
      </c>
    </row>
    <row r="281" spans="1:8" x14ac:dyDescent="0.25">
      <c r="A281" t="s">
        <v>501</v>
      </c>
      <c r="B281" t="s">
        <v>11</v>
      </c>
      <c r="C281" t="s">
        <v>9</v>
      </c>
      <c r="D281" t="s">
        <v>12</v>
      </c>
      <c r="E281">
        <v>147</v>
      </c>
      <c r="F281">
        <v>75</v>
      </c>
      <c r="G281">
        <v>8000</v>
      </c>
      <c r="H281" t="s">
        <v>50</v>
      </c>
    </row>
    <row r="282" spans="1:8" x14ac:dyDescent="0.25">
      <c r="A282" t="s">
        <v>502</v>
      </c>
      <c r="B282" t="s">
        <v>52</v>
      </c>
      <c r="C282" t="s">
        <v>9</v>
      </c>
      <c r="D282" t="s">
        <v>46</v>
      </c>
      <c r="E282">
        <v>47</v>
      </c>
      <c r="F282">
        <v>141</v>
      </c>
      <c r="G282">
        <v>1200</v>
      </c>
      <c r="H282" t="s">
        <v>128</v>
      </c>
    </row>
    <row r="283" spans="1:8" x14ac:dyDescent="0.25">
      <c r="A283" t="s">
        <v>503</v>
      </c>
      <c r="B283" t="s">
        <v>8</v>
      </c>
      <c r="C283" t="s">
        <v>9</v>
      </c>
      <c r="D283" t="s">
        <v>31</v>
      </c>
      <c r="E283">
        <v>175</v>
      </c>
      <c r="F283">
        <v>61</v>
      </c>
      <c r="G283">
        <v>5000</v>
      </c>
      <c r="H283" t="s">
        <v>504</v>
      </c>
    </row>
    <row r="284" spans="1:8" x14ac:dyDescent="0.25">
      <c r="A284" t="s">
        <v>505</v>
      </c>
      <c r="B284" t="s">
        <v>49</v>
      </c>
      <c r="C284" t="s">
        <v>9</v>
      </c>
      <c r="D284" t="s">
        <v>16</v>
      </c>
      <c r="E284">
        <v>187</v>
      </c>
      <c r="F284">
        <v>90</v>
      </c>
      <c r="G284">
        <v>800</v>
      </c>
      <c r="H284" t="s">
        <v>409</v>
      </c>
    </row>
    <row r="285" spans="1:8" x14ac:dyDescent="0.25">
      <c r="A285" t="s">
        <v>506</v>
      </c>
      <c r="B285" t="s">
        <v>39</v>
      </c>
      <c r="C285" t="s">
        <v>9</v>
      </c>
      <c r="D285" t="s">
        <v>31</v>
      </c>
      <c r="E285">
        <v>130</v>
      </c>
      <c r="F285">
        <v>107</v>
      </c>
      <c r="G285">
        <v>500</v>
      </c>
      <c r="H285" t="s">
        <v>507</v>
      </c>
    </row>
    <row r="286" spans="1:8" x14ac:dyDescent="0.25">
      <c r="A286" t="s">
        <v>508</v>
      </c>
      <c r="B286" t="s">
        <v>11</v>
      </c>
      <c r="C286" t="s">
        <v>9</v>
      </c>
      <c r="D286" t="s">
        <v>46</v>
      </c>
      <c r="E286">
        <v>123</v>
      </c>
      <c r="F286">
        <v>142</v>
      </c>
      <c r="G286">
        <v>1500</v>
      </c>
      <c r="H286" t="s">
        <v>484</v>
      </c>
    </row>
    <row r="287" spans="1:8" x14ac:dyDescent="0.25">
      <c r="A287" t="s">
        <v>509</v>
      </c>
      <c r="B287" t="s">
        <v>17</v>
      </c>
      <c r="C287" t="s">
        <v>9</v>
      </c>
      <c r="D287" t="s">
        <v>26</v>
      </c>
      <c r="E287">
        <v>183</v>
      </c>
      <c r="F287">
        <v>130</v>
      </c>
      <c r="G287">
        <v>55000</v>
      </c>
      <c r="H287" t="s">
        <v>510</v>
      </c>
    </row>
    <row r="288" spans="1:8" x14ac:dyDescent="0.25">
      <c r="A288" t="s">
        <v>511</v>
      </c>
      <c r="B288" t="s">
        <v>15</v>
      </c>
      <c r="C288" t="s">
        <v>9</v>
      </c>
      <c r="D288" t="s">
        <v>31</v>
      </c>
      <c r="E288">
        <v>144</v>
      </c>
      <c r="F288">
        <v>147</v>
      </c>
      <c r="G288">
        <v>30000</v>
      </c>
      <c r="H288" t="s">
        <v>171</v>
      </c>
    </row>
    <row r="289" spans="1:8" x14ac:dyDescent="0.25">
      <c r="A289" t="s">
        <v>512</v>
      </c>
      <c r="B289" t="s">
        <v>15</v>
      </c>
      <c r="C289" t="s">
        <v>9</v>
      </c>
      <c r="D289" t="s">
        <v>26</v>
      </c>
      <c r="E289">
        <v>89</v>
      </c>
      <c r="F289">
        <v>37</v>
      </c>
      <c r="G289">
        <v>1200</v>
      </c>
      <c r="H289" t="s">
        <v>263</v>
      </c>
    </row>
    <row r="290" spans="1:8" x14ac:dyDescent="0.25">
      <c r="A290" t="s">
        <v>513</v>
      </c>
      <c r="B290" t="s">
        <v>49</v>
      </c>
      <c r="C290" t="s">
        <v>9</v>
      </c>
      <c r="D290" t="s">
        <v>46</v>
      </c>
      <c r="E290">
        <v>169</v>
      </c>
      <c r="F290">
        <v>57</v>
      </c>
      <c r="G290">
        <v>12000</v>
      </c>
      <c r="H290" t="s">
        <v>514</v>
      </c>
    </row>
    <row r="291" spans="1:8" x14ac:dyDescent="0.25">
      <c r="A291" t="s">
        <v>515</v>
      </c>
      <c r="B291" t="s">
        <v>8</v>
      </c>
      <c r="C291" t="s">
        <v>9</v>
      </c>
      <c r="D291" t="s">
        <v>12</v>
      </c>
      <c r="E291">
        <v>94</v>
      </c>
      <c r="F291">
        <v>42</v>
      </c>
      <c r="G291">
        <v>8000</v>
      </c>
      <c r="H291" t="s">
        <v>516</v>
      </c>
    </row>
    <row r="292" spans="1:8" x14ac:dyDescent="0.25">
      <c r="A292" t="s">
        <v>517</v>
      </c>
      <c r="B292" t="s">
        <v>49</v>
      </c>
      <c r="C292" t="s">
        <v>9</v>
      </c>
      <c r="D292" t="s">
        <v>74</v>
      </c>
      <c r="E292">
        <v>108</v>
      </c>
      <c r="F292">
        <v>146</v>
      </c>
      <c r="G292">
        <v>2500</v>
      </c>
      <c r="H292" t="s">
        <v>518</v>
      </c>
    </row>
    <row r="293" spans="1:8" x14ac:dyDescent="0.25">
      <c r="A293" t="s">
        <v>519</v>
      </c>
      <c r="B293" t="s">
        <v>8</v>
      </c>
      <c r="C293" t="s">
        <v>9</v>
      </c>
      <c r="D293" t="s">
        <v>18</v>
      </c>
      <c r="E293">
        <v>118</v>
      </c>
      <c r="F293">
        <v>58</v>
      </c>
      <c r="G293">
        <v>12000</v>
      </c>
      <c r="H293" t="s">
        <v>431</v>
      </c>
    </row>
    <row r="294" spans="1:8" x14ac:dyDescent="0.25">
      <c r="A294" t="s">
        <v>520</v>
      </c>
      <c r="B294" t="s">
        <v>13</v>
      </c>
      <c r="C294" t="s">
        <v>9</v>
      </c>
      <c r="D294" t="s">
        <v>31</v>
      </c>
      <c r="E294">
        <v>26</v>
      </c>
      <c r="F294">
        <v>27</v>
      </c>
      <c r="G294">
        <v>1500</v>
      </c>
      <c r="H294" t="s">
        <v>521</v>
      </c>
    </row>
    <row r="295" spans="1:8" x14ac:dyDescent="0.25">
      <c r="A295" t="s">
        <v>522</v>
      </c>
      <c r="B295" t="s">
        <v>8</v>
      </c>
      <c r="C295" t="s">
        <v>9</v>
      </c>
      <c r="D295" t="s">
        <v>16</v>
      </c>
      <c r="E295">
        <v>160</v>
      </c>
      <c r="F295">
        <v>49</v>
      </c>
      <c r="G295">
        <v>55000</v>
      </c>
      <c r="H295" t="s">
        <v>523</v>
      </c>
    </row>
    <row r="296" spans="1:8" x14ac:dyDescent="0.25">
      <c r="A296" t="s">
        <v>524</v>
      </c>
      <c r="B296" t="s">
        <v>15</v>
      </c>
      <c r="C296" t="s">
        <v>9</v>
      </c>
      <c r="D296" t="s">
        <v>31</v>
      </c>
      <c r="E296">
        <v>48</v>
      </c>
      <c r="F296">
        <v>107</v>
      </c>
      <c r="G296">
        <v>55000</v>
      </c>
      <c r="H296" t="s">
        <v>525</v>
      </c>
    </row>
    <row r="297" spans="1:8" x14ac:dyDescent="0.25">
      <c r="A297" t="s">
        <v>526</v>
      </c>
      <c r="B297" t="s">
        <v>15</v>
      </c>
      <c r="C297" t="s">
        <v>9</v>
      </c>
      <c r="D297" t="s">
        <v>10</v>
      </c>
      <c r="E297">
        <v>49</v>
      </c>
      <c r="F297">
        <v>119</v>
      </c>
      <c r="G297">
        <v>55000</v>
      </c>
      <c r="H297" t="s">
        <v>283</v>
      </c>
    </row>
    <row r="298" spans="1:8" x14ac:dyDescent="0.25">
      <c r="A298" t="s">
        <v>527</v>
      </c>
      <c r="B298" t="s">
        <v>8</v>
      </c>
      <c r="C298" t="s">
        <v>9</v>
      </c>
      <c r="D298" t="s">
        <v>12</v>
      </c>
      <c r="E298">
        <v>29</v>
      </c>
      <c r="F298">
        <v>97</v>
      </c>
      <c r="G298">
        <v>500</v>
      </c>
      <c r="H298" t="s">
        <v>340</v>
      </c>
    </row>
    <row r="299" spans="1:8" x14ac:dyDescent="0.25">
      <c r="A299" t="s">
        <v>528</v>
      </c>
      <c r="B299" t="s">
        <v>39</v>
      </c>
      <c r="C299" t="s">
        <v>9</v>
      </c>
      <c r="D299" t="s">
        <v>31</v>
      </c>
      <c r="E299">
        <v>53</v>
      </c>
      <c r="F299">
        <v>59</v>
      </c>
      <c r="G299">
        <v>30000</v>
      </c>
      <c r="H299" t="s">
        <v>529</v>
      </c>
    </row>
    <row r="300" spans="1:8" x14ac:dyDescent="0.25">
      <c r="A300" t="s">
        <v>530</v>
      </c>
      <c r="B300" t="s">
        <v>11</v>
      </c>
      <c r="C300" t="s">
        <v>9</v>
      </c>
      <c r="D300" t="s">
        <v>12</v>
      </c>
      <c r="E300">
        <v>69</v>
      </c>
      <c r="F300">
        <v>108</v>
      </c>
      <c r="G300">
        <v>55000</v>
      </c>
      <c r="H300" t="s">
        <v>293</v>
      </c>
    </row>
    <row r="301" spans="1:8" x14ac:dyDescent="0.25">
      <c r="A301" t="s">
        <v>531</v>
      </c>
      <c r="B301" t="s">
        <v>25</v>
      </c>
      <c r="C301" t="s">
        <v>9</v>
      </c>
      <c r="D301" t="s">
        <v>16</v>
      </c>
      <c r="E301">
        <v>101</v>
      </c>
      <c r="F301">
        <v>101</v>
      </c>
      <c r="G301">
        <v>2500</v>
      </c>
      <c r="H301" t="s">
        <v>178</v>
      </c>
    </row>
    <row r="302" spans="1:8" x14ac:dyDescent="0.25">
      <c r="A302" t="s">
        <v>532</v>
      </c>
      <c r="B302" t="s">
        <v>39</v>
      </c>
      <c r="C302" t="s">
        <v>9</v>
      </c>
      <c r="D302" t="s">
        <v>31</v>
      </c>
      <c r="E302">
        <v>111</v>
      </c>
      <c r="F302">
        <v>147</v>
      </c>
      <c r="G302">
        <v>5000</v>
      </c>
      <c r="H302" t="s">
        <v>533</v>
      </c>
    </row>
    <row r="303" spans="1:8" x14ac:dyDescent="0.25">
      <c r="A303" t="s">
        <v>534</v>
      </c>
      <c r="B303" t="s">
        <v>13</v>
      </c>
      <c r="C303" t="s">
        <v>9</v>
      </c>
      <c r="D303" t="s">
        <v>26</v>
      </c>
      <c r="E303">
        <v>65</v>
      </c>
      <c r="F303">
        <v>91</v>
      </c>
      <c r="G303">
        <v>8000</v>
      </c>
      <c r="H303" t="s">
        <v>79</v>
      </c>
    </row>
    <row r="304" spans="1:8" x14ac:dyDescent="0.25">
      <c r="A304" t="s">
        <v>535</v>
      </c>
      <c r="B304" t="s">
        <v>11</v>
      </c>
      <c r="C304" t="s">
        <v>9</v>
      </c>
      <c r="D304" t="s">
        <v>31</v>
      </c>
      <c r="E304">
        <v>94</v>
      </c>
      <c r="F304">
        <v>147</v>
      </c>
      <c r="G304">
        <v>1500</v>
      </c>
      <c r="H304" t="s">
        <v>163</v>
      </c>
    </row>
    <row r="305" spans="1:8" x14ac:dyDescent="0.25">
      <c r="A305" t="s">
        <v>536</v>
      </c>
      <c r="B305" t="s">
        <v>17</v>
      </c>
      <c r="C305" t="s">
        <v>9</v>
      </c>
      <c r="D305" t="s">
        <v>10</v>
      </c>
      <c r="E305">
        <v>62</v>
      </c>
      <c r="F305">
        <v>141</v>
      </c>
      <c r="G305">
        <v>1200</v>
      </c>
      <c r="H305" t="s">
        <v>537</v>
      </c>
    </row>
    <row r="306" spans="1:8" x14ac:dyDescent="0.25">
      <c r="A306" t="s">
        <v>538</v>
      </c>
      <c r="B306" t="s">
        <v>17</v>
      </c>
      <c r="C306" t="s">
        <v>9</v>
      </c>
      <c r="D306" t="s">
        <v>16</v>
      </c>
      <c r="E306">
        <v>80</v>
      </c>
      <c r="F306">
        <v>116</v>
      </c>
      <c r="G306">
        <v>5000</v>
      </c>
      <c r="H306" t="s">
        <v>539</v>
      </c>
    </row>
    <row r="307" spans="1:8" x14ac:dyDescent="0.25">
      <c r="A307" t="s">
        <v>540</v>
      </c>
      <c r="B307" t="s">
        <v>39</v>
      </c>
      <c r="C307" t="s">
        <v>9</v>
      </c>
      <c r="D307" t="s">
        <v>12</v>
      </c>
      <c r="E307">
        <v>29</v>
      </c>
      <c r="F307">
        <v>86</v>
      </c>
      <c r="G307">
        <v>8000</v>
      </c>
      <c r="H307" t="s">
        <v>541</v>
      </c>
    </row>
    <row r="308" spans="1:8" x14ac:dyDescent="0.25">
      <c r="A308" t="s">
        <v>542</v>
      </c>
      <c r="B308" t="s">
        <v>96</v>
      </c>
      <c r="C308" t="s">
        <v>9</v>
      </c>
      <c r="D308" t="s">
        <v>14</v>
      </c>
      <c r="E308">
        <v>119</v>
      </c>
      <c r="F308">
        <v>43</v>
      </c>
      <c r="G308">
        <v>500</v>
      </c>
      <c r="H308" t="s">
        <v>543</v>
      </c>
    </row>
    <row r="309" spans="1:8" x14ac:dyDescent="0.25">
      <c r="A309" t="s">
        <v>544</v>
      </c>
      <c r="B309" t="s">
        <v>52</v>
      </c>
      <c r="C309" t="s">
        <v>9</v>
      </c>
      <c r="D309" t="s">
        <v>46</v>
      </c>
      <c r="E309">
        <v>116</v>
      </c>
      <c r="F309">
        <v>45</v>
      </c>
      <c r="G309">
        <v>500</v>
      </c>
      <c r="H309" t="s">
        <v>227</v>
      </c>
    </row>
    <row r="310" spans="1:8" x14ac:dyDescent="0.25">
      <c r="A310" t="s">
        <v>545</v>
      </c>
      <c r="B310" t="s">
        <v>25</v>
      </c>
      <c r="C310" t="s">
        <v>9</v>
      </c>
      <c r="D310" t="s">
        <v>46</v>
      </c>
      <c r="E310">
        <v>102</v>
      </c>
      <c r="F310">
        <v>95</v>
      </c>
      <c r="G310">
        <v>12000</v>
      </c>
      <c r="H310" t="s">
        <v>546</v>
      </c>
    </row>
    <row r="311" spans="1:8" x14ac:dyDescent="0.25">
      <c r="A311" t="s">
        <v>547</v>
      </c>
      <c r="B311" t="s">
        <v>15</v>
      </c>
      <c r="C311" t="s">
        <v>9</v>
      </c>
      <c r="D311" t="s">
        <v>14</v>
      </c>
      <c r="E311">
        <v>24</v>
      </c>
      <c r="F311">
        <v>108</v>
      </c>
      <c r="G311">
        <v>12000</v>
      </c>
      <c r="H311" t="s">
        <v>155</v>
      </c>
    </row>
    <row r="312" spans="1:8" x14ac:dyDescent="0.25">
      <c r="A312" t="s">
        <v>548</v>
      </c>
      <c r="B312" t="s">
        <v>52</v>
      </c>
      <c r="C312" t="s">
        <v>9</v>
      </c>
      <c r="D312" t="s">
        <v>10</v>
      </c>
      <c r="E312">
        <v>97</v>
      </c>
      <c r="F312">
        <v>122</v>
      </c>
      <c r="G312">
        <v>2500</v>
      </c>
      <c r="H312" t="s">
        <v>380</v>
      </c>
    </row>
    <row r="313" spans="1:8" x14ac:dyDescent="0.25">
      <c r="A313" t="s">
        <v>549</v>
      </c>
      <c r="B313" t="s">
        <v>49</v>
      </c>
      <c r="C313" t="s">
        <v>9</v>
      </c>
      <c r="D313" t="s">
        <v>31</v>
      </c>
      <c r="E313">
        <v>190</v>
      </c>
      <c r="F313">
        <v>133</v>
      </c>
      <c r="G313">
        <v>12000</v>
      </c>
      <c r="H313" t="s">
        <v>550</v>
      </c>
    </row>
    <row r="314" spans="1:8" x14ac:dyDescent="0.25">
      <c r="A314" t="s">
        <v>551</v>
      </c>
      <c r="B314" t="s">
        <v>17</v>
      </c>
      <c r="C314" t="s">
        <v>9</v>
      </c>
      <c r="D314" t="s">
        <v>74</v>
      </c>
      <c r="E314">
        <v>177</v>
      </c>
      <c r="F314">
        <v>73</v>
      </c>
      <c r="G314">
        <v>8000</v>
      </c>
      <c r="H314" t="s">
        <v>552</v>
      </c>
    </row>
    <row r="315" spans="1:8" x14ac:dyDescent="0.25">
      <c r="A315" t="s">
        <v>553</v>
      </c>
      <c r="B315" t="s">
        <v>52</v>
      </c>
      <c r="C315" t="s">
        <v>9</v>
      </c>
      <c r="D315" t="s">
        <v>74</v>
      </c>
      <c r="E315">
        <v>155</v>
      </c>
      <c r="F315">
        <v>44</v>
      </c>
      <c r="G315">
        <v>2500</v>
      </c>
      <c r="H315" t="s">
        <v>554</v>
      </c>
    </row>
    <row r="316" spans="1:8" x14ac:dyDescent="0.25">
      <c r="A316" t="s">
        <v>555</v>
      </c>
      <c r="B316" t="s">
        <v>52</v>
      </c>
      <c r="C316" t="s">
        <v>9</v>
      </c>
      <c r="D316" t="s">
        <v>31</v>
      </c>
      <c r="E316">
        <v>153</v>
      </c>
      <c r="F316">
        <v>98</v>
      </c>
      <c r="G316">
        <v>1200</v>
      </c>
      <c r="H316" t="s">
        <v>556</v>
      </c>
    </row>
    <row r="317" spans="1:8" x14ac:dyDescent="0.25">
      <c r="A317" t="s">
        <v>557</v>
      </c>
      <c r="B317" t="s">
        <v>25</v>
      </c>
      <c r="C317" t="s">
        <v>9</v>
      </c>
      <c r="D317" t="s">
        <v>16</v>
      </c>
      <c r="E317">
        <v>139</v>
      </c>
      <c r="F317">
        <v>63</v>
      </c>
      <c r="G317">
        <v>5000</v>
      </c>
      <c r="H317" t="s">
        <v>558</v>
      </c>
    </row>
    <row r="318" spans="1:8" x14ac:dyDescent="0.25">
      <c r="A318" t="s">
        <v>559</v>
      </c>
      <c r="B318" t="s">
        <v>25</v>
      </c>
      <c r="C318" t="s">
        <v>9</v>
      </c>
      <c r="D318" t="s">
        <v>16</v>
      </c>
      <c r="E318">
        <v>31</v>
      </c>
      <c r="F318">
        <v>52</v>
      </c>
      <c r="G318">
        <v>1500</v>
      </c>
      <c r="H318" t="s">
        <v>560</v>
      </c>
    </row>
    <row r="319" spans="1:8" x14ac:dyDescent="0.25">
      <c r="A319" t="s">
        <v>561</v>
      </c>
      <c r="B319" t="s">
        <v>25</v>
      </c>
      <c r="C319" t="s">
        <v>9</v>
      </c>
      <c r="D319" t="s">
        <v>34</v>
      </c>
      <c r="E319">
        <v>36</v>
      </c>
      <c r="F319">
        <v>141</v>
      </c>
      <c r="G319">
        <v>8000</v>
      </c>
      <c r="H319" t="s">
        <v>463</v>
      </c>
    </row>
    <row r="320" spans="1:8" x14ac:dyDescent="0.25">
      <c r="A320" t="s">
        <v>562</v>
      </c>
      <c r="B320" t="s">
        <v>52</v>
      </c>
      <c r="C320" t="s">
        <v>9</v>
      </c>
      <c r="D320" t="s">
        <v>12</v>
      </c>
      <c r="E320">
        <v>124</v>
      </c>
      <c r="F320">
        <v>149</v>
      </c>
      <c r="G320">
        <v>800</v>
      </c>
      <c r="H320" t="s">
        <v>79</v>
      </c>
    </row>
    <row r="321" spans="1:8" x14ac:dyDescent="0.25">
      <c r="A321" t="s">
        <v>563</v>
      </c>
      <c r="B321" t="s">
        <v>13</v>
      </c>
      <c r="C321" t="s">
        <v>9</v>
      </c>
      <c r="D321" t="s">
        <v>74</v>
      </c>
      <c r="E321">
        <v>152</v>
      </c>
      <c r="F321">
        <v>57</v>
      </c>
      <c r="G321">
        <v>800</v>
      </c>
      <c r="H321" t="s">
        <v>564</v>
      </c>
    </row>
    <row r="322" spans="1:8" x14ac:dyDescent="0.25">
      <c r="A322" t="s">
        <v>565</v>
      </c>
      <c r="B322" t="s">
        <v>52</v>
      </c>
      <c r="C322" t="s">
        <v>9</v>
      </c>
      <c r="D322" t="s">
        <v>14</v>
      </c>
      <c r="E322">
        <v>83</v>
      </c>
      <c r="F322">
        <v>5</v>
      </c>
      <c r="G322">
        <v>55000</v>
      </c>
      <c r="H322" t="s">
        <v>566</v>
      </c>
    </row>
    <row r="323" spans="1:8" x14ac:dyDescent="0.25">
      <c r="A323" t="s">
        <v>567</v>
      </c>
      <c r="B323" t="s">
        <v>39</v>
      </c>
      <c r="C323" t="s">
        <v>9</v>
      </c>
      <c r="D323" t="s">
        <v>18</v>
      </c>
      <c r="E323">
        <v>152</v>
      </c>
      <c r="F323">
        <v>133</v>
      </c>
      <c r="G323">
        <v>1200</v>
      </c>
      <c r="H323" t="s">
        <v>235</v>
      </c>
    </row>
    <row r="324" spans="1:8" x14ac:dyDescent="0.25">
      <c r="A324" t="s">
        <v>568</v>
      </c>
      <c r="B324" t="s">
        <v>15</v>
      </c>
      <c r="C324" t="s">
        <v>9</v>
      </c>
      <c r="D324" t="s">
        <v>46</v>
      </c>
      <c r="E324">
        <v>159</v>
      </c>
      <c r="F324">
        <v>133</v>
      </c>
      <c r="G324">
        <v>1500</v>
      </c>
      <c r="H324" t="s">
        <v>569</v>
      </c>
    </row>
    <row r="325" spans="1:8" x14ac:dyDescent="0.25">
      <c r="A325" t="s">
        <v>570</v>
      </c>
      <c r="B325" t="s">
        <v>96</v>
      </c>
      <c r="C325" t="s">
        <v>9</v>
      </c>
      <c r="D325" t="s">
        <v>12</v>
      </c>
      <c r="E325">
        <v>195</v>
      </c>
      <c r="F325">
        <v>14</v>
      </c>
      <c r="G325">
        <v>1500</v>
      </c>
      <c r="H325" t="s">
        <v>102</v>
      </c>
    </row>
    <row r="326" spans="1:8" x14ac:dyDescent="0.25">
      <c r="A326" t="s">
        <v>571</v>
      </c>
      <c r="B326" t="s">
        <v>17</v>
      </c>
      <c r="C326" t="s">
        <v>9</v>
      </c>
      <c r="D326" t="s">
        <v>12</v>
      </c>
      <c r="E326">
        <v>112</v>
      </c>
      <c r="F326">
        <v>6</v>
      </c>
      <c r="G326">
        <v>1200</v>
      </c>
      <c r="H326" t="s">
        <v>518</v>
      </c>
    </row>
    <row r="327" spans="1:8" x14ac:dyDescent="0.25">
      <c r="A327" t="s">
        <v>572</v>
      </c>
      <c r="B327" t="s">
        <v>25</v>
      </c>
      <c r="C327" t="s">
        <v>9</v>
      </c>
      <c r="D327" t="s">
        <v>18</v>
      </c>
      <c r="E327">
        <v>131</v>
      </c>
      <c r="F327">
        <v>75</v>
      </c>
      <c r="G327">
        <v>1200</v>
      </c>
      <c r="H327" t="s">
        <v>433</v>
      </c>
    </row>
    <row r="328" spans="1:8" x14ac:dyDescent="0.25">
      <c r="A328" t="s">
        <v>573</v>
      </c>
      <c r="B328" t="s">
        <v>17</v>
      </c>
      <c r="C328" t="s">
        <v>9</v>
      </c>
      <c r="D328" t="s">
        <v>34</v>
      </c>
      <c r="E328">
        <v>35</v>
      </c>
      <c r="F328">
        <v>14</v>
      </c>
      <c r="G328">
        <v>30000</v>
      </c>
      <c r="H328" t="s">
        <v>574</v>
      </c>
    </row>
    <row r="329" spans="1:8" x14ac:dyDescent="0.25">
      <c r="A329" t="s">
        <v>575</v>
      </c>
      <c r="B329" t="s">
        <v>8</v>
      </c>
      <c r="C329" t="s">
        <v>9</v>
      </c>
      <c r="D329" t="s">
        <v>10</v>
      </c>
      <c r="E329">
        <v>106</v>
      </c>
      <c r="F329">
        <v>69</v>
      </c>
      <c r="G329">
        <v>12000</v>
      </c>
      <c r="H329" t="s">
        <v>303</v>
      </c>
    </row>
    <row r="330" spans="1:8" x14ac:dyDescent="0.25">
      <c r="A330" t="s">
        <v>576</v>
      </c>
      <c r="B330" t="s">
        <v>8</v>
      </c>
      <c r="C330" t="s">
        <v>9</v>
      </c>
      <c r="D330" t="s">
        <v>31</v>
      </c>
      <c r="E330">
        <v>153</v>
      </c>
      <c r="F330">
        <v>32</v>
      </c>
      <c r="G330">
        <v>30000</v>
      </c>
      <c r="H330" t="s">
        <v>577</v>
      </c>
    </row>
    <row r="331" spans="1:8" x14ac:dyDescent="0.25">
      <c r="A331" t="s">
        <v>578</v>
      </c>
      <c r="B331" t="s">
        <v>15</v>
      </c>
      <c r="C331" t="s">
        <v>9</v>
      </c>
      <c r="D331" t="s">
        <v>14</v>
      </c>
      <c r="E331">
        <v>117</v>
      </c>
      <c r="F331">
        <v>54</v>
      </c>
      <c r="G331">
        <v>500</v>
      </c>
      <c r="H331" t="s">
        <v>323</v>
      </c>
    </row>
    <row r="332" spans="1:8" x14ac:dyDescent="0.25">
      <c r="A332" t="s">
        <v>579</v>
      </c>
      <c r="B332" t="s">
        <v>15</v>
      </c>
      <c r="C332" t="s">
        <v>9</v>
      </c>
      <c r="D332" t="s">
        <v>12</v>
      </c>
      <c r="E332">
        <v>51</v>
      </c>
      <c r="F332">
        <v>46</v>
      </c>
      <c r="G332">
        <v>30000</v>
      </c>
      <c r="H332" t="s">
        <v>580</v>
      </c>
    </row>
    <row r="333" spans="1:8" x14ac:dyDescent="0.25">
      <c r="A333" t="s">
        <v>581</v>
      </c>
      <c r="B333" t="s">
        <v>13</v>
      </c>
      <c r="C333" t="s">
        <v>9</v>
      </c>
      <c r="D333" t="s">
        <v>26</v>
      </c>
      <c r="E333">
        <v>137</v>
      </c>
      <c r="F333">
        <v>126</v>
      </c>
      <c r="G333">
        <v>2500</v>
      </c>
      <c r="H333" t="s">
        <v>577</v>
      </c>
    </row>
    <row r="334" spans="1:8" x14ac:dyDescent="0.25">
      <c r="A334" t="s">
        <v>582</v>
      </c>
      <c r="B334" t="s">
        <v>25</v>
      </c>
      <c r="C334" t="s">
        <v>9</v>
      </c>
      <c r="D334" t="s">
        <v>31</v>
      </c>
      <c r="E334">
        <v>124</v>
      </c>
      <c r="F334">
        <v>9</v>
      </c>
      <c r="G334">
        <v>8000</v>
      </c>
      <c r="H334" t="s">
        <v>583</v>
      </c>
    </row>
    <row r="335" spans="1:8" x14ac:dyDescent="0.25">
      <c r="A335" t="s">
        <v>584</v>
      </c>
      <c r="B335" t="s">
        <v>8</v>
      </c>
      <c r="C335" t="s">
        <v>9</v>
      </c>
      <c r="D335" t="s">
        <v>34</v>
      </c>
      <c r="E335">
        <v>117</v>
      </c>
      <c r="F335">
        <v>107</v>
      </c>
      <c r="G335">
        <v>5000</v>
      </c>
      <c r="H335" t="s">
        <v>585</v>
      </c>
    </row>
    <row r="336" spans="1:8" x14ac:dyDescent="0.25">
      <c r="A336" t="s">
        <v>586</v>
      </c>
      <c r="B336" t="s">
        <v>52</v>
      </c>
      <c r="C336" t="s">
        <v>9</v>
      </c>
      <c r="D336" t="s">
        <v>31</v>
      </c>
      <c r="E336">
        <v>52</v>
      </c>
      <c r="F336">
        <v>72</v>
      </c>
      <c r="G336">
        <v>30000</v>
      </c>
      <c r="H336" t="s">
        <v>587</v>
      </c>
    </row>
    <row r="337" spans="1:8" x14ac:dyDescent="0.25">
      <c r="A337" t="s">
        <v>588</v>
      </c>
      <c r="B337" t="s">
        <v>52</v>
      </c>
      <c r="C337" t="s">
        <v>9</v>
      </c>
      <c r="D337" t="s">
        <v>18</v>
      </c>
      <c r="E337">
        <v>93</v>
      </c>
      <c r="F337">
        <v>131</v>
      </c>
      <c r="G337">
        <v>5000</v>
      </c>
      <c r="H337" t="s">
        <v>194</v>
      </c>
    </row>
    <row r="338" spans="1:8" x14ac:dyDescent="0.25">
      <c r="A338" t="s">
        <v>589</v>
      </c>
      <c r="B338" t="s">
        <v>11</v>
      </c>
      <c r="C338" t="s">
        <v>9</v>
      </c>
      <c r="D338" t="s">
        <v>34</v>
      </c>
      <c r="E338">
        <v>98</v>
      </c>
      <c r="F338">
        <v>26</v>
      </c>
      <c r="G338">
        <v>1200</v>
      </c>
      <c r="H338" t="s">
        <v>436</v>
      </c>
    </row>
    <row r="339" spans="1:8" x14ac:dyDescent="0.25">
      <c r="A339" t="s">
        <v>590</v>
      </c>
      <c r="B339" t="s">
        <v>96</v>
      </c>
      <c r="C339" t="s">
        <v>9</v>
      </c>
      <c r="D339" t="s">
        <v>31</v>
      </c>
      <c r="E339">
        <v>71</v>
      </c>
      <c r="F339">
        <v>118</v>
      </c>
      <c r="G339">
        <v>8000</v>
      </c>
      <c r="H339" t="s">
        <v>510</v>
      </c>
    </row>
    <row r="340" spans="1:8" x14ac:dyDescent="0.25">
      <c r="A340" t="s">
        <v>591</v>
      </c>
      <c r="B340" t="s">
        <v>96</v>
      </c>
      <c r="C340" t="s">
        <v>9</v>
      </c>
      <c r="D340" t="s">
        <v>34</v>
      </c>
      <c r="E340">
        <v>198</v>
      </c>
      <c r="F340">
        <v>75</v>
      </c>
      <c r="G340">
        <v>55000</v>
      </c>
      <c r="H340" t="s">
        <v>190</v>
      </c>
    </row>
    <row r="341" spans="1:8" x14ac:dyDescent="0.25">
      <c r="A341" t="s">
        <v>592</v>
      </c>
      <c r="B341" t="s">
        <v>49</v>
      </c>
      <c r="C341" t="s">
        <v>9</v>
      </c>
      <c r="D341" t="s">
        <v>46</v>
      </c>
      <c r="E341">
        <v>80</v>
      </c>
      <c r="F341">
        <v>17</v>
      </c>
      <c r="G341">
        <v>12000</v>
      </c>
      <c r="H341" t="s">
        <v>380</v>
      </c>
    </row>
    <row r="342" spans="1:8" x14ac:dyDescent="0.25">
      <c r="A342" t="s">
        <v>593</v>
      </c>
      <c r="B342" t="s">
        <v>11</v>
      </c>
      <c r="C342" t="s">
        <v>9</v>
      </c>
      <c r="D342" t="s">
        <v>10</v>
      </c>
      <c r="E342">
        <v>58</v>
      </c>
      <c r="F342">
        <v>123</v>
      </c>
      <c r="G342">
        <v>800</v>
      </c>
      <c r="H342" t="s">
        <v>363</v>
      </c>
    </row>
    <row r="343" spans="1:8" x14ac:dyDescent="0.25">
      <c r="A343" t="s">
        <v>594</v>
      </c>
      <c r="B343" t="s">
        <v>13</v>
      </c>
      <c r="C343" t="s">
        <v>9</v>
      </c>
      <c r="D343" t="s">
        <v>74</v>
      </c>
      <c r="E343">
        <v>82</v>
      </c>
      <c r="F343">
        <v>140</v>
      </c>
      <c r="G343">
        <v>30000</v>
      </c>
      <c r="H343" t="s">
        <v>569</v>
      </c>
    </row>
    <row r="344" spans="1:8" x14ac:dyDescent="0.25">
      <c r="A344" t="s">
        <v>595</v>
      </c>
      <c r="B344" t="s">
        <v>25</v>
      </c>
      <c r="C344" t="s">
        <v>9</v>
      </c>
      <c r="D344" t="s">
        <v>74</v>
      </c>
      <c r="E344">
        <v>62</v>
      </c>
      <c r="F344">
        <v>144</v>
      </c>
      <c r="G344">
        <v>5000</v>
      </c>
      <c r="H344" t="s">
        <v>194</v>
      </c>
    </row>
    <row r="345" spans="1:8" x14ac:dyDescent="0.25">
      <c r="A345" t="s">
        <v>596</v>
      </c>
      <c r="B345" t="s">
        <v>25</v>
      </c>
      <c r="C345" t="s">
        <v>9</v>
      </c>
      <c r="D345" t="s">
        <v>16</v>
      </c>
      <c r="E345">
        <v>174</v>
      </c>
      <c r="F345">
        <v>22</v>
      </c>
      <c r="G345">
        <v>8000</v>
      </c>
      <c r="H345" t="s">
        <v>597</v>
      </c>
    </row>
    <row r="346" spans="1:8" x14ac:dyDescent="0.25">
      <c r="A346" t="s">
        <v>598</v>
      </c>
      <c r="B346" t="s">
        <v>39</v>
      </c>
      <c r="C346" t="s">
        <v>9</v>
      </c>
      <c r="D346" t="s">
        <v>16</v>
      </c>
      <c r="E346">
        <v>115</v>
      </c>
      <c r="F346">
        <v>74</v>
      </c>
      <c r="G346">
        <v>30000</v>
      </c>
      <c r="H346" t="s">
        <v>599</v>
      </c>
    </row>
    <row r="347" spans="1:8" x14ac:dyDescent="0.25">
      <c r="A347" t="s">
        <v>600</v>
      </c>
      <c r="B347" t="s">
        <v>96</v>
      </c>
      <c r="C347" t="s">
        <v>9</v>
      </c>
      <c r="D347" t="s">
        <v>31</v>
      </c>
      <c r="E347">
        <v>73</v>
      </c>
      <c r="F347">
        <v>133</v>
      </c>
      <c r="G347">
        <v>8000</v>
      </c>
      <c r="H347" t="s">
        <v>227</v>
      </c>
    </row>
    <row r="348" spans="1:8" x14ac:dyDescent="0.25">
      <c r="A348" t="s">
        <v>601</v>
      </c>
      <c r="B348" t="s">
        <v>11</v>
      </c>
      <c r="C348" t="s">
        <v>9</v>
      </c>
      <c r="D348" t="s">
        <v>74</v>
      </c>
      <c r="E348">
        <v>191</v>
      </c>
      <c r="F348">
        <v>28</v>
      </c>
      <c r="G348">
        <v>2500</v>
      </c>
      <c r="H348" t="s">
        <v>463</v>
      </c>
    </row>
    <row r="349" spans="1:8" x14ac:dyDescent="0.25">
      <c r="A349" t="s">
        <v>602</v>
      </c>
      <c r="B349" t="s">
        <v>52</v>
      </c>
      <c r="C349" t="s">
        <v>9</v>
      </c>
      <c r="D349" t="s">
        <v>26</v>
      </c>
      <c r="E349">
        <v>43</v>
      </c>
      <c r="F349">
        <v>122</v>
      </c>
      <c r="G349">
        <v>1500</v>
      </c>
      <c r="H349" t="s">
        <v>145</v>
      </c>
    </row>
    <row r="350" spans="1:8" x14ac:dyDescent="0.25">
      <c r="A350" t="s">
        <v>603</v>
      </c>
      <c r="B350" t="s">
        <v>15</v>
      </c>
      <c r="C350" t="s">
        <v>9</v>
      </c>
      <c r="D350" t="s">
        <v>16</v>
      </c>
      <c r="E350">
        <v>172</v>
      </c>
      <c r="F350">
        <v>14</v>
      </c>
      <c r="G350">
        <v>12000</v>
      </c>
      <c r="H350" t="s">
        <v>604</v>
      </c>
    </row>
    <row r="351" spans="1:8" x14ac:dyDescent="0.25">
      <c r="A351" t="s">
        <v>605</v>
      </c>
      <c r="B351" t="s">
        <v>49</v>
      </c>
      <c r="C351" t="s">
        <v>9</v>
      </c>
      <c r="D351" t="s">
        <v>26</v>
      </c>
      <c r="E351">
        <v>20</v>
      </c>
      <c r="F351">
        <v>62</v>
      </c>
      <c r="G351">
        <v>2500</v>
      </c>
      <c r="H351" t="s">
        <v>110</v>
      </c>
    </row>
    <row r="352" spans="1:8" x14ac:dyDescent="0.25">
      <c r="A352" t="s">
        <v>606</v>
      </c>
      <c r="B352" t="s">
        <v>52</v>
      </c>
      <c r="C352" t="s">
        <v>9</v>
      </c>
      <c r="D352" t="s">
        <v>34</v>
      </c>
      <c r="E352">
        <v>124</v>
      </c>
      <c r="F352">
        <v>37</v>
      </c>
      <c r="G352">
        <v>1200</v>
      </c>
      <c r="H352" t="s">
        <v>133</v>
      </c>
    </row>
    <row r="353" spans="1:8" x14ac:dyDescent="0.25">
      <c r="A353" t="s">
        <v>607</v>
      </c>
      <c r="B353" t="s">
        <v>11</v>
      </c>
      <c r="C353" t="s">
        <v>9</v>
      </c>
      <c r="D353" t="s">
        <v>74</v>
      </c>
      <c r="E353">
        <v>67</v>
      </c>
      <c r="F353">
        <v>56</v>
      </c>
      <c r="G353">
        <v>1200</v>
      </c>
      <c r="H353" t="s">
        <v>608</v>
      </c>
    </row>
    <row r="354" spans="1:8" x14ac:dyDescent="0.25">
      <c r="A354" t="s">
        <v>609</v>
      </c>
      <c r="B354" t="s">
        <v>49</v>
      </c>
      <c r="C354" t="s">
        <v>9</v>
      </c>
      <c r="D354" t="s">
        <v>12</v>
      </c>
      <c r="E354">
        <v>96</v>
      </c>
      <c r="F354">
        <v>100</v>
      </c>
      <c r="G354">
        <v>2500</v>
      </c>
      <c r="H354" t="s">
        <v>183</v>
      </c>
    </row>
    <row r="355" spans="1:8" x14ac:dyDescent="0.25">
      <c r="A355" t="s">
        <v>610</v>
      </c>
      <c r="B355" t="s">
        <v>8</v>
      </c>
      <c r="C355" t="s">
        <v>9</v>
      </c>
      <c r="D355" t="s">
        <v>34</v>
      </c>
      <c r="E355">
        <v>96</v>
      </c>
      <c r="F355">
        <v>133</v>
      </c>
      <c r="G355">
        <v>12000</v>
      </c>
      <c r="H355" t="s">
        <v>194</v>
      </c>
    </row>
    <row r="356" spans="1:8" x14ac:dyDescent="0.25">
      <c r="A356" t="s">
        <v>611</v>
      </c>
      <c r="B356" t="s">
        <v>8</v>
      </c>
      <c r="C356" t="s">
        <v>9</v>
      </c>
      <c r="D356" t="s">
        <v>74</v>
      </c>
      <c r="E356">
        <v>111</v>
      </c>
      <c r="F356">
        <v>89</v>
      </c>
      <c r="G356">
        <v>12000</v>
      </c>
      <c r="H356" t="s">
        <v>516</v>
      </c>
    </row>
    <row r="357" spans="1:8" x14ac:dyDescent="0.25">
      <c r="A357" t="s">
        <v>612</v>
      </c>
      <c r="B357" t="s">
        <v>17</v>
      </c>
      <c r="C357" t="s">
        <v>9</v>
      </c>
      <c r="D357" t="s">
        <v>12</v>
      </c>
      <c r="E357">
        <v>82</v>
      </c>
      <c r="F357">
        <v>9</v>
      </c>
      <c r="G357">
        <v>1200</v>
      </c>
      <c r="H357" t="s">
        <v>413</v>
      </c>
    </row>
    <row r="358" spans="1:8" x14ac:dyDescent="0.25">
      <c r="A358" t="s">
        <v>613</v>
      </c>
      <c r="B358" t="s">
        <v>17</v>
      </c>
      <c r="C358" t="s">
        <v>9</v>
      </c>
      <c r="D358" t="s">
        <v>74</v>
      </c>
      <c r="E358">
        <v>60</v>
      </c>
      <c r="F358">
        <v>11</v>
      </c>
      <c r="G358">
        <v>800</v>
      </c>
      <c r="H358" t="s">
        <v>614</v>
      </c>
    </row>
    <row r="359" spans="1:8" x14ac:dyDescent="0.25">
      <c r="A359" t="s">
        <v>615</v>
      </c>
      <c r="B359" t="s">
        <v>25</v>
      </c>
      <c r="C359" t="s">
        <v>9</v>
      </c>
      <c r="D359" t="s">
        <v>18</v>
      </c>
      <c r="E359">
        <v>131</v>
      </c>
      <c r="F359">
        <v>45</v>
      </c>
      <c r="G359">
        <v>30000</v>
      </c>
      <c r="H359" t="s">
        <v>235</v>
      </c>
    </row>
    <row r="360" spans="1:8" x14ac:dyDescent="0.25">
      <c r="A360" t="s">
        <v>616</v>
      </c>
      <c r="B360" t="s">
        <v>39</v>
      </c>
      <c r="C360" t="s">
        <v>9</v>
      </c>
      <c r="D360" t="s">
        <v>26</v>
      </c>
      <c r="E360">
        <v>71</v>
      </c>
      <c r="F360">
        <v>139</v>
      </c>
      <c r="G360">
        <v>12000</v>
      </c>
      <c r="H360" t="s">
        <v>617</v>
      </c>
    </row>
    <row r="361" spans="1:8" x14ac:dyDescent="0.25">
      <c r="A361" t="s">
        <v>618</v>
      </c>
      <c r="B361" t="s">
        <v>96</v>
      </c>
      <c r="C361" t="s">
        <v>9</v>
      </c>
      <c r="D361" t="s">
        <v>18</v>
      </c>
      <c r="E361">
        <v>134</v>
      </c>
      <c r="F361">
        <v>55</v>
      </c>
      <c r="G361">
        <v>12000</v>
      </c>
      <c r="H361" t="s">
        <v>619</v>
      </c>
    </row>
    <row r="362" spans="1:8" x14ac:dyDescent="0.25">
      <c r="A362" t="s">
        <v>620</v>
      </c>
      <c r="B362" t="s">
        <v>15</v>
      </c>
      <c r="C362" t="s">
        <v>9</v>
      </c>
      <c r="D362" t="s">
        <v>31</v>
      </c>
      <c r="E362">
        <v>57</v>
      </c>
      <c r="F362">
        <v>45</v>
      </c>
      <c r="G362">
        <v>30000</v>
      </c>
      <c r="H362" t="s">
        <v>599</v>
      </c>
    </row>
    <row r="363" spans="1:8" x14ac:dyDescent="0.25">
      <c r="A363" t="s">
        <v>621</v>
      </c>
      <c r="B363" t="s">
        <v>49</v>
      </c>
      <c r="C363" t="s">
        <v>9</v>
      </c>
      <c r="D363" t="s">
        <v>26</v>
      </c>
      <c r="E363">
        <v>82</v>
      </c>
      <c r="F363">
        <v>139</v>
      </c>
      <c r="G363">
        <v>30000</v>
      </c>
      <c r="H363" t="s">
        <v>194</v>
      </c>
    </row>
    <row r="364" spans="1:8" x14ac:dyDescent="0.25">
      <c r="A364" t="s">
        <v>622</v>
      </c>
      <c r="B364" t="s">
        <v>15</v>
      </c>
      <c r="C364" t="s">
        <v>9</v>
      </c>
      <c r="D364" t="s">
        <v>14</v>
      </c>
      <c r="E364">
        <v>124</v>
      </c>
      <c r="F364">
        <v>44</v>
      </c>
      <c r="G364">
        <v>1500</v>
      </c>
      <c r="H364" t="s">
        <v>133</v>
      </c>
    </row>
    <row r="365" spans="1:8" x14ac:dyDescent="0.25">
      <c r="A365" t="s">
        <v>623</v>
      </c>
      <c r="B365" t="s">
        <v>49</v>
      </c>
      <c r="C365" t="s">
        <v>9</v>
      </c>
      <c r="D365" t="s">
        <v>26</v>
      </c>
      <c r="E365">
        <v>51</v>
      </c>
      <c r="F365">
        <v>54</v>
      </c>
      <c r="G365">
        <v>800</v>
      </c>
      <c r="H365" t="s">
        <v>274</v>
      </c>
    </row>
    <row r="366" spans="1:8" x14ac:dyDescent="0.25">
      <c r="A366" t="s">
        <v>624</v>
      </c>
      <c r="B366" t="s">
        <v>96</v>
      </c>
      <c r="C366" t="s">
        <v>9</v>
      </c>
      <c r="D366" t="s">
        <v>46</v>
      </c>
      <c r="E366">
        <v>167</v>
      </c>
      <c r="F366">
        <v>105</v>
      </c>
      <c r="G366">
        <v>2500</v>
      </c>
      <c r="H366" t="s">
        <v>335</v>
      </c>
    </row>
    <row r="367" spans="1:8" x14ac:dyDescent="0.25">
      <c r="A367" t="s">
        <v>625</v>
      </c>
      <c r="B367" t="s">
        <v>17</v>
      </c>
      <c r="C367" t="s">
        <v>9</v>
      </c>
      <c r="D367" t="s">
        <v>34</v>
      </c>
      <c r="E367">
        <v>104</v>
      </c>
      <c r="F367">
        <v>54</v>
      </c>
      <c r="G367">
        <v>800</v>
      </c>
      <c r="H367" t="s">
        <v>240</v>
      </c>
    </row>
    <row r="368" spans="1:8" x14ac:dyDescent="0.25">
      <c r="A368" t="s">
        <v>626</v>
      </c>
      <c r="B368" t="s">
        <v>17</v>
      </c>
      <c r="C368" t="s">
        <v>9</v>
      </c>
      <c r="D368" t="s">
        <v>10</v>
      </c>
      <c r="E368">
        <v>23</v>
      </c>
      <c r="F368">
        <v>116</v>
      </c>
      <c r="G368">
        <v>800</v>
      </c>
      <c r="H368" t="s">
        <v>627</v>
      </c>
    </row>
    <row r="369" spans="1:8" x14ac:dyDescent="0.25">
      <c r="A369" t="s">
        <v>628</v>
      </c>
      <c r="B369" t="s">
        <v>39</v>
      </c>
      <c r="C369" t="s">
        <v>9</v>
      </c>
      <c r="D369" t="s">
        <v>16</v>
      </c>
      <c r="E369">
        <v>174</v>
      </c>
      <c r="F369">
        <v>37</v>
      </c>
      <c r="G369">
        <v>12000</v>
      </c>
      <c r="H369" t="s">
        <v>431</v>
      </c>
    </row>
    <row r="370" spans="1:8" x14ac:dyDescent="0.25">
      <c r="A370" t="s">
        <v>629</v>
      </c>
      <c r="B370" t="s">
        <v>96</v>
      </c>
      <c r="C370" t="s">
        <v>9</v>
      </c>
      <c r="D370" t="s">
        <v>18</v>
      </c>
      <c r="E370">
        <v>151</v>
      </c>
      <c r="F370">
        <v>85</v>
      </c>
      <c r="G370">
        <v>1500</v>
      </c>
      <c r="H370" t="s">
        <v>112</v>
      </c>
    </row>
    <row r="371" spans="1:8" x14ac:dyDescent="0.25">
      <c r="A371" t="s">
        <v>630</v>
      </c>
      <c r="B371" t="s">
        <v>49</v>
      </c>
      <c r="C371" t="s">
        <v>9</v>
      </c>
      <c r="D371" t="s">
        <v>34</v>
      </c>
      <c r="E371">
        <v>62</v>
      </c>
      <c r="F371">
        <v>42</v>
      </c>
      <c r="G371">
        <v>500</v>
      </c>
      <c r="H371" t="s">
        <v>514</v>
      </c>
    </row>
    <row r="372" spans="1:8" x14ac:dyDescent="0.25">
      <c r="A372" t="s">
        <v>631</v>
      </c>
      <c r="B372" t="s">
        <v>8</v>
      </c>
      <c r="C372" t="s">
        <v>9</v>
      </c>
      <c r="D372" t="s">
        <v>46</v>
      </c>
      <c r="E372">
        <v>79</v>
      </c>
      <c r="F372">
        <v>58</v>
      </c>
      <c r="G372">
        <v>1200</v>
      </c>
      <c r="H372" t="s">
        <v>632</v>
      </c>
    </row>
    <row r="373" spans="1:8" x14ac:dyDescent="0.25">
      <c r="A373" t="s">
        <v>633</v>
      </c>
      <c r="B373" t="s">
        <v>25</v>
      </c>
      <c r="C373" t="s">
        <v>9</v>
      </c>
      <c r="D373" t="s">
        <v>16</v>
      </c>
      <c r="E373">
        <v>87</v>
      </c>
      <c r="F373">
        <v>108</v>
      </c>
      <c r="G373">
        <v>8000</v>
      </c>
      <c r="H373" t="s">
        <v>634</v>
      </c>
    </row>
    <row r="374" spans="1:8" x14ac:dyDescent="0.25">
      <c r="A374" t="s">
        <v>635</v>
      </c>
      <c r="B374" t="s">
        <v>13</v>
      </c>
      <c r="C374" t="s">
        <v>9</v>
      </c>
      <c r="D374" t="s">
        <v>14</v>
      </c>
      <c r="E374">
        <v>46</v>
      </c>
      <c r="F374">
        <v>138</v>
      </c>
      <c r="G374">
        <v>800</v>
      </c>
      <c r="H374" t="s">
        <v>636</v>
      </c>
    </row>
    <row r="375" spans="1:8" x14ac:dyDescent="0.25">
      <c r="A375" t="s">
        <v>637</v>
      </c>
      <c r="B375" t="s">
        <v>39</v>
      </c>
      <c r="C375" t="s">
        <v>9</v>
      </c>
      <c r="D375" t="s">
        <v>12</v>
      </c>
      <c r="E375">
        <v>128</v>
      </c>
      <c r="F375">
        <v>23</v>
      </c>
      <c r="G375">
        <v>8000</v>
      </c>
      <c r="H375" t="s">
        <v>569</v>
      </c>
    </row>
    <row r="376" spans="1:8" x14ac:dyDescent="0.25">
      <c r="A376" t="s">
        <v>638</v>
      </c>
      <c r="B376" t="s">
        <v>15</v>
      </c>
      <c r="C376" t="s">
        <v>9</v>
      </c>
      <c r="D376" t="s">
        <v>18</v>
      </c>
      <c r="E376">
        <v>34</v>
      </c>
      <c r="F376">
        <v>11</v>
      </c>
      <c r="G376">
        <v>12000</v>
      </c>
      <c r="H376" t="s">
        <v>523</v>
      </c>
    </row>
    <row r="377" spans="1:8" x14ac:dyDescent="0.25">
      <c r="A377" t="s">
        <v>639</v>
      </c>
      <c r="B377" t="s">
        <v>52</v>
      </c>
      <c r="C377" t="s">
        <v>9</v>
      </c>
      <c r="D377" t="s">
        <v>46</v>
      </c>
      <c r="E377">
        <v>113</v>
      </c>
      <c r="F377">
        <v>26</v>
      </c>
      <c r="G377">
        <v>500</v>
      </c>
      <c r="H377" t="s">
        <v>640</v>
      </c>
    </row>
    <row r="378" spans="1:8" x14ac:dyDescent="0.25">
      <c r="A378" t="s">
        <v>641</v>
      </c>
      <c r="B378" t="s">
        <v>13</v>
      </c>
      <c r="C378" t="s">
        <v>9</v>
      </c>
      <c r="D378" t="s">
        <v>18</v>
      </c>
      <c r="E378">
        <v>103</v>
      </c>
      <c r="F378">
        <v>82</v>
      </c>
      <c r="G378">
        <v>2500</v>
      </c>
      <c r="H378" t="s">
        <v>342</v>
      </c>
    </row>
    <row r="379" spans="1:8" x14ac:dyDescent="0.25">
      <c r="A379" t="s">
        <v>642</v>
      </c>
      <c r="B379" t="s">
        <v>52</v>
      </c>
      <c r="C379" t="s">
        <v>9</v>
      </c>
      <c r="D379" t="s">
        <v>14</v>
      </c>
      <c r="E379">
        <v>34</v>
      </c>
      <c r="F379">
        <v>97</v>
      </c>
      <c r="G379">
        <v>55000</v>
      </c>
      <c r="H379" t="s">
        <v>102</v>
      </c>
    </row>
    <row r="380" spans="1:8" x14ac:dyDescent="0.25">
      <c r="A380" t="s">
        <v>643</v>
      </c>
      <c r="B380" t="s">
        <v>25</v>
      </c>
      <c r="C380" t="s">
        <v>9</v>
      </c>
      <c r="D380" t="s">
        <v>18</v>
      </c>
      <c r="E380">
        <v>122</v>
      </c>
      <c r="F380">
        <v>54</v>
      </c>
      <c r="G380">
        <v>1500</v>
      </c>
      <c r="H380" t="s">
        <v>644</v>
      </c>
    </row>
    <row r="381" spans="1:8" x14ac:dyDescent="0.25">
      <c r="A381" t="s">
        <v>645</v>
      </c>
      <c r="B381" t="s">
        <v>17</v>
      </c>
      <c r="C381" t="s">
        <v>9</v>
      </c>
      <c r="D381" t="s">
        <v>46</v>
      </c>
      <c r="E381">
        <v>110</v>
      </c>
      <c r="F381">
        <v>115</v>
      </c>
      <c r="G381">
        <v>55000</v>
      </c>
      <c r="H381" t="s">
        <v>183</v>
      </c>
    </row>
    <row r="382" spans="1:8" x14ac:dyDescent="0.25">
      <c r="A382" t="s">
        <v>646</v>
      </c>
      <c r="B382" t="s">
        <v>15</v>
      </c>
      <c r="C382" t="s">
        <v>9</v>
      </c>
      <c r="D382" t="s">
        <v>16</v>
      </c>
      <c r="E382">
        <v>72</v>
      </c>
      <c r="F382">
        <v>30</v>
      </c>
      <c r="G382">
        <v>30000</v>
      </c>
      <c r="H382" t="s">
        <v>647</v>
      </c>
    </row>
    <row r="383" spans="1:8" x14ac:dyDescent="0.25">
      <c r="A383" t="s">
        <v>648</v>
      </c>
      <c r="B383" t="s">
        <v>49</v>
      </c>
      <c r="C383" t="s">
        <v>9</v>
      </c>
      <c r="D383" t="s">
        <v>12</v>
      </c>
      <c r="E383">
        <v>64</v>
      </c>
      <c r="F383">
        <v>19</v>
      </c>
      <c r="G383">
        <v>1500</v>
      </c>
      <c r="H383" t="s">
        <v>649</v>
      </c>
    </row>
    <row r="384" spans="1:8" x14ac:dyDescent="0.25">
      <c r="A384" t="s">
        <v>650</v>
      </c>
      <c r="B384" t="s">
        <v>8</v>
      </c>
      <c r="C384" t="s">
        <v>9</v>
      </c>
      <c r="D384" t="s">
        <v>14</v>
      </c>
      <c r="E384">
        <v>144</v>
      </c>
      <c r="F384">
        <v>121</v>
      </c>
      <c r="G384">
        <v>1200</v>
      </c>
      <c r="H384" t="s">
        <v>651</v>
      </c>
    </row>
    <row r="385" spans="1:8" x14ac:dyDescent="0.25">
      <c r="A385" t="s">
        <v>652</v>
      </c>
      <c r="B385" t="s">
        <v>39</v>
      </c>
      <c r="C385" t="s">
        <v>9</v>
      </c>
      <c r="D385" t="s">
        <v>14</v>
      </c>
      <c r="E385">
        <v>184</v>
      </c>
      <c r="F385">
        <v>116</v>
      </c>
      <c r="G385">
        <v>800</v>
      </c>
      <c r="H385" t="s">
        <v>653</v>
      </c>
    </row>
    <row r="386" spans="1:8" x14ac:dyDescent="0.25">
      <c r="A386" t="s">
        <v>654</v>
      </c>
      <c r="B386" t="s">
        <v>13</v>
      </c>
      <c r="C386" t="s">
        <v>9</v>
      </c>
      <c r="D386" t="s">
        <v>31</v>
      </c>
      <c r="E386">
        <v>121</v>
      </c>
      <c r="F386">
        <v>119</v>
      </c>
      <c r="G386">
        <v>30000</v>
      </c>
      <c r="H386" t="s">
        <v>655</v>
      </c>
    </row>
    <row r="387" spans="1:8" x14ac:dyDescent="0.25">
      <c r="A387" t="s">
        <v>656</v>
      </c>
      <c r="B387" t="s">
        <v>25</v>
      </c>
      <c r="C387" t="s">
        <v>9</v>
      </c>
      <c r="D387" t="s">
        <v>31</v>
      </c>
      <c r="E387">
        <v>24</v>
      </c>
      <c r="F387">
        <v>109</v>
      </c>
      <c r="G387">
        <v>5000</v>
      </c>
      <c r="H387" t="s">
        <v>657</v>
      </c>
    </row>
    <row r="388" spans="1:8" x14ac:dyDescent="0.25">
      <c r="A388" t="s">
        <v>658</v>
      </c>
      <c r="B388" t="s">
        <v>17</v>
      </c>
      <c r="C388" t="s">
        <v>9</v>
      </c>
      <c r="D388" t="s">
        <v>34</v>
      </c>
      <c r="E388">
        <v>178</v>
      </c>
      <c r="F388">
        <v>134</v>
      </c>
      <c r="G388">
        <v>12000</v>
      </c>
      <c r="H388" t="s">
        <v>161</v>
      </c>
    </row>
    <row r="389" spans="1:8" x14ac:dyDescent="0.25">
      <c r="A389" t="s">
        <v>659</v>
      </c>
      <c r="B389" t="s">
        <v>52</v>
      </c>
      <c r="C389" t="s">
        <v>9</v>
      </c>
      <c r="D389" t="s">
        <v>74</v>
      </c>
      <c r="E389">
        <v>130</v>
      </c>
      <c r="F389">
        <v>86</v>
      </c>
      <c r="G389">
        <v>30000</v>
      </c>
      <c r="H389" t="s">
        <v>257</v>
      </c>
    </row>
    <row r="390" spans="1:8" x14ac:dyDescent="0.25">
      <c r="A390" t="s">
        <v>660</v>
      </c>
      <c r="B390" t="s">
        <v>52</v>
      </c>
      <c r="C390" t="s">
        <v>9</v>
      </c>
      <c r="D390" t="s">
        <v>14</v>
      </c>
      <c r="E390">
        <v>126</v>
      </c>
      <c r="F390">
        <v>30</v>
      </c>
      <c r="G390">
        <v>55000</v>
      </c>
      <c r="H390" t="s">
        <v>661</v>
      </c>
    </row>
    <row r="391" spans="1:8" x14ac:dyDescent="0.25">
      <c r="A391" t="s">
        <v>662</v>
      </c>
      <c r="B391" t="s">
        <v>8</v>
      </c>
      <c r="C391" t="s">
        <v>9</v>
      </c>
      <c r="D391" t="s">
        <v>10</v>
      </c>
      <c r="E391">
        <v>136</v>
      </c>
      <c r="F391">
        <v>15</v>
      </c>
      <c r="G391">
        <v>2500</v>
      </c>
      <c r="H391" t="s">
        <v>640</v>
      </c>
    </row>
    <row r="392" spans="1:8" x14ac:dyDescent="0.25">
      <c r="A392" t="s">
        <v>663</v>
      </c>
      <c r="B392" t="s">
        <v>39</v>
      </c>
      <c r="C392" t="s">
        <v>9</v>
      </c>
      <c r="D392" t="s">
        <v>12</v>
      </c>
      <c r="E392">
        <v>93</v>
      </c>
      <c r="F392">
        <v>92</v>
      </c>
      <c r="G392">
        <v>800</v>
      </c>
      <c r="H392" t="s">
        <v>664</v>
      </c>
    </row>
    <row r="393" spans="1:8" x14ac:dyDescent="0.25">
      <c r="A393" t="s">
        <v>665</v>
      </c>
      <c r="B393" t="s">
        <v>39</v>
      </c>
      <c r="C393" t="s">
        <v>9</v>
      </c>
      <c r="D393" t="s">
        <v>34</v>
      </c>
      <c r="E393">
        <v>153</v>
      </c>
      <c r="F393">
        <v>44</v>
      </c>
      <c r="G393">
        <v>2500</v>
      </c>
      <c r="H393" t="s">
        <v>405</v>
      </c>
    </row>
    <row r="394" spans="1:8" x14ac:dyDescent="0.25">
      <c r="A394" t="s">
        <v>666</v>
      </c>
      <c r="B394" t="s">
        <v>13</v>
      </c>
      <c r="C394" t="s">
        <v>9</v>
      </c>
      <c r="D394" t="s">
        <v>26</v>
      </c>
      <c r="E394">
        <v>82</v>
      </c>
      <c r="F394">
        <v>69</v>
      </c>
      <c r="G394">
        <v>8000</v>
      </c>
      <c r="H394" t="s">
        <v>667</v>
      </c>
    </row>
    <row r="395" spans="1:8" x14ac:dyDescent="0.25">
      <c r="A395" t="s">
        <v>668</v>
      </c>
      <c r="B395" t="s">
        <v>49</v>
      </c>
      <c r="C395" t="s">
        <v>9</v>
      </c>
      <c r="D395" t="s">
        <v>34</v>
      </c>
      <c r="E395">
        <v>120</v>
      </c>
      <c r="F395">
        <v>65</v>
      </c>
      <c r="G395">
        <v>1500</v>
      </c>
      <c r="H395" t="s">
        <v>102</v>
      </c>
    </row>
    <row r="396" spans="1:8" x14ac:dyDescent="0.25">
      <c r="A396" t="s">
        <v>669</v>
      </c>
      <c r="B396" t="s">
        <v>15</v>
      </c>
      <c r="C396" t="s">
        <v>9</v>
      </c>
      <c r="D396" t="s">
        <v>46</v>
      </c>
      <c r="E396">
        <v>90</v>
      </c>
      <c r="F396">
        <v>32</v>
      </c>
      <c r="G396">
        <v>2500</v>
      </c>
      <c r="H396" t="s">
        <v>670</v>
      </c>
    </row>
    <row r="397" spans="1:8" x14ac:dyDescent="0.25">
      <c r="A397" t="s">
        <v>671</v>
      </c>
      <c r="B397" t="s">
        <v>15</v>
      </c>
      <c r="C397" t="s">
        <v>9</v>
      </c>
      <c r="D397" t="s">
        <v>12</v>
      </c>
      <c r="E397">
        <v>102</v>
      </c>
      <c r="F397">
        <v>123</v>
      </c>
      <c r="G397">
        <v>1200</v>
      </c>
      <c r="H397" t="s">
        <v>672</v>
      </c>
    </row>
    <row r="398" spans="1:8" x14ac:dyDescent="0.25">
      <c r="A398" t="s">
        <v>673</v>
      </c>
      <c r="B398" t="s">
        <v>8</v>
      </c>
      <c r="C398" t="s">
        <v>9</v>
      </c>
      <c r="D398" t="s">
        <v>14</v>
      </c>
      <c r="E398">
        <v>170</v>
      </c>
      <c r="F398">
        <v>56</v>
      </c>
      <c r="G398">
        <v>800</v>
      </c>
      <c r="H398" t="s">
        <v>278</v>
      </c>
    </row>
    <row r="399" spans="1:8" x14ac:dyDescent="0.25">
      <c r="A399" t="s">
        <v>674</v>
      </c>
      <c r="B399" t="s">
        <v>25</v>
      </c>
      <c r="C399" t="s">
        <v>9</v>
      </c>
      <c r="D399" t="s">
        <v>31</v>
      </c>
      <c r="E399">
        <v>117</v>
      </c>
      <c r="F399">
        <v>70</v>
      </c>
      <c r="G399">
        <v>500</v>
      </c>
      <c r="H399" t="s">
        <v>188</v>
      </c>
    </row>
    <row r="400" spans="1:8" x14ac:dyDescent="0.25">
      <c r="A400" t="s">
        <v>675</v>
      </c>
      <c r="B400" t="s">
        <v>13</v>
      </c>
      <c r="C400" t="s">
        <v>9</v>
      </c>
      <c r="D400" t="s">
        <v>12</v>
      </c>
      <c r="E400">
        <v>175</v>
      </c>
      <c r="F400">
        <v>111</v>
      </c>
      <c r="G400">
        <v>55000</v>
      </c>
      <c r="H400" t="s">
        <v>198</v>
      </c>
    </row>
    <row r="401" spans="1:8" x14ac:dyDescent="0.25">
      <c r="A401" t="s">
        <v>676</v>
      </c>
      <c r="B401" t="s">
        <v>49</v>
      </c>
      <c r="C401" t="s">
        <v>9</v>
      </c>
      <c r="D401" t="s">
        <v>18</v>
      </c>
      <c r="E401">
        <v>51</v>
      </c>
      <c r="F401">
        <v>3</v>
      </c>
      <c r="G401">
        <v>55000</v>
      </c>
      <c r="H401" t="s">
        <v>577</v>
      </c>
    </row>
    <row r="402" spans="1:8" x14ac:dyDescent="0.25">
      <c r="A402" t="s">
        <v>677</v>
      </c>
      <c r="B402" t="s">
        <v>96</v>
      </c>
      <c r="C402" t="s">
        <v>9</v>
      </c>
      <c r="D402" t="s">
        <v>26</v>
      </c>
      <c r="E402">
        <v>191</v>
      </c>
      <c r="F402">
        <v>90</v>
      </c>
      <c r="G402">
        <v>800</v>
      </c>
      <c r="H402" t="s">
        <v>678</v>
      </c>
    </row>
    <row r="403" spans="1:8" x14ac:dyDescent="0.25">
      <c r="A403" t="s">
        <v>679</v>
      </c>
      <c r="B403" t="s">
        <v>11</v>
      </c>
      <c r="C403" t="s">
        <v>9</v>
      </c>
      <c r="D403" t="s">
        <v>74</v>
      </c>
      <c r="E403">
        <v>105</v>
      </c>
      <c r="F403">
        <v>86</v>
      </c>
      <c r="G403">
        <v>800</v>
      </c>
      <c r="H403" t="s">
        <v>680</v>
      </c>
    </row>
    <row r="404" spans="1:8" x14ac:dyDescent="0.25">
      <c r="A404" t="s">
        <v>681</v>
      </c>
      <c r="B404" t="s">
        <v>52</v>
      </c>
      <c r="C404" t="s">
        <v>9</v>
      </c>
      <c r="D404" t="s">
        <v>12</v>
      </c>
      <c r="E404">
        <v>82</v>
      </c>
      <c r="F404">
        <v>36</v>
      </c>
      <c r="G404">
        <v>8000</v>
      </c>
      <c r="H404" t="s">
        <v>238</v>
      </c>
    </row>
    <row r="405" spans="1:8" x14ac:dyDescent="0.25">
      <c r="A405" t="s">
        <v>682</v>
      </c>
      <c r="B405" t="s">
        <v>13</v>
      </c>
      <c r="C405" t="s">
        <v>9</v>
      </c>
      <c r="D405" t="s">
        <v>34</v>
      </c>
      <c r="E405">
        <v>122</v>
      </c>
      <c r="F405">
        <v>146</v>
      </c>
      <c r="G405">
        <v>1200</v>
      </c>
      <c r="H405" t="s">
        <v>494</v>
      </c>
    </row>
    <row r="406" spans="1:8" x14ac:dyDescent="0.25">
      <c r="A406" t="s">
        <v>683</v>
      </c>
      <c r="B406" t="s">
        <v>52</v>
      </c>
      <c r="C406" t="s">
        <v>9</v>
      </c>
      <c r="D406" t="s">
        <v>12</v>
      </c>
      <c r="E406">
        <v>142</v>
      </c>
      <c r="F406">
        <v>78</v>
      </c>
      <c r="G406">
        <v>2500</v>
      </c>
      <c r="H406" t="s">
        <v>684</v>
      </c>
    </row>
    <row r="407" spans="1:8" x14ac:dyDescent="0.25">
      <c r="A407" t="s">
        <v>685</v>
      </c>
      <c r="B407" t="s">
        <v>39</v>
      </c>
      <c r="C407" t="s">
        <v>9</v>
      </c>
      <c r="D407" t="s">
        <v>34</v>
      </c>
      <c r="E407">
        <v>89</v>
      </c>
      <c r="F407">
        <v>90</v>
      </c>
      <c r="G407">
        <v>800</v>
      </c>
      <c r="H407" t="s">
        <v>128</v>
      </c>
    </row>
    <row r="408" spans="1:8" x14ac:dyDescent="0.25">
      <c r="A408" t="s">
        <v>686</v>
      </c>
      <c r="B408" t="s">
        <v>15</v>
      </c>
      <c r="C408" t="s">
        <v>9</v>
      </c>
      <c r="D408" t="s">
        <v>14</v>
      </c>
      <c r="E408">
        <v>70</v>
      </c>
      <c r="F408">
        <v>123</v>
      </c>
      <c r="G408">
        <v>12000</v>
      </c>
      <c r="H408" t="s">
        <v>640</v>
      </c>
    </row>
    <row r="409" spans="1:8" x14ac:dyDescent="0.25">
      <c r="A409" t="s">
        <v>687</v>
      </c>
      <c r="B409" t="s">
        <v>25</v>
      </c>
      <c r="C409" t="s">
        <v>9</v>
      </c>
      <c r="D409" t="s">
        <v>12</v>
      </c>
      <c r="E409">
        <v>139</v>
      </c>
      <c r="F409">
        <v>45</v>
      </c>
      <c r="G409">
        <v>500</v>
      </c>
      <c r="H409" t="s">
        <v>580</v>
      </c>
    </row>
    <row r="410" spans="1:8" x14ac:dyDescent="0.25">
      <c r="A410" t="s">
        <v>688</v>
      </c>
      <c r="B410" t="s">
        <v>49</v>
      </c>
      <c r="C410" t="s">
        <v>9</v>
      </c>
      <c r="D410" t="s">
        <v>12</v>
      </c>
      <c r="E410">
        <v>57</v>
      </c>
      <c r="F410">
        <v>75</v>
      </c>
      <c r="G410">
        <v>5000</v>
      </c>
      <c r="H410" t="s">
        <v>116</v>
      </c>
    </row>
    <row r="411" spans="1:8" x14ac:dyDescent="0.25">
      <c r="A411" t="s">
        <v>689</v>
      </c>
      <c r="B411" t="s">
        <v>25</v>
      </c>
      <c r="C411" t="s">
        <v>9</v>
      </c>
      <c r="D411" t="s">
        <v>31</v>
      </c>
      <c r="E411">
        <v>167</v>
      </c>
      <c r="F411">
        <v>65</v>
      </c>
      <c r="G411">
        <v>5000</v>
      </c>
      <c r="H411" t="s">
        <v>543</v>
      </c>
    </row>
    <row r="412" spans="1:8" x14ac:dyDescent="0.25">
      <c r="A412" t="s">
        <v>690</v>
      </c>
      <c r="B412" t="s">
        <v>8</v>
      </c>
      <c r="C412" t="s">
        <v>9</v>
      </c>
      <c r="D412" t="s">
        <v>12</v>
      </c>
      <c r="E412">
        <v>67</v>
      </c>
      <c r="F412">
        <v>84</v>
      </c>
      <c r="G412">
        <v>500</v>
      </c>
      <c r="H412" t="s">
        <v>691</v>
      </c>
    </row>
    <row r="413" spans="1:8" x14ac:dyDescent="0.25">
      <c r="A413" t="s">
        <v>692</v>
      </c>
      <c r="B413" t="s">
        <v>39</v>
      </c>
      <c r="C413" t="s">
        <v>9</v>
      </c>
      <c r="D413" t="s">
        <v>14</v>
      </c>
      <c r="E413">
        <v>146</v>
      </c>
      <c r="F413">
        <v>22</v>
      </c>
      <c r="G413">
        <v>55000</v>
      </c>
      <c r="H413" t="s">
        <v>380</v>
      </c>
    </row>
    <row r="414" spans="1:8" x14ac:dyDescent="0.25">
      <c r="A414" t="s">
        <v>693</v>
      </c>
      <c r="B414" t="s">
        <v>8</v>
      </c>
      <c r="C414" t="s">
        <v>9</v>
      </c>
      <c r="D414" t="s">
        <v>12</v>
      </c>
      <c r="E414">
        <v>71</v>
      </c>
      <c r="F414">
        <v>27</v>
      </c>
      <c r="G414">
        <v>5000</v>
      </c>
      <c r="H414" t="s">
        <v>122</v>
      </c>
    </row>
    <row r="415" spans="1:8" x14ac:dyDescent="0.25">
      <c r="A415" t="s">
        <v>694</v>
      </c>
      <c r="B415" t="s">
        <v>49</v>
      </c>
      <c r="C415" t="s">
        <v>9</v>
      </c>
      <c r="D415" t="s">
        <v>34</v>
      </c>
      <c r="E415">
        <v>34</v>
      </c>
      <c r="F415">
        <v>59</v>
      </c>
      <c r="G415">
        <v>500</v>
      </c>
      <c r="H415" t="s">
        <v>347</v>
      </c>
    </row>
    <row r="416" spans="1:8" x14ac:dyDescent="0.25">
      <c r="A416" t="s">
        <v>695</v>
      </c>
      <c r="B416" t="s">
        <v>8</v>
      </c>
      <c r="C416" t="s">
        <v>9</v>
      </c>
      <c r="D416" t="s">
        <v>46</v>
      </c>
      <c r="E416">
        <v>196</v>
      </c>
      <c r="F416">
        <v>84</v>
      </c>
      <c r="G416">
        <v>8000</v>
      </c>
      <c r="H416" t="s">
        <v>552</v>
      </c>
    </row>
    <row r="417" spans="1:8" x14ac:dyDescent="0.25">
      <c r="A417" t="s">
        <v>696</v>
      </c>
      <c r="B417" t="s">
        <v>39</v>
      </c>
      <c r="C417" t="s">
        <v>9</v>
      </c>
      <c r="D417" t="s">
        <v>12</v>
      </c>
      <c r="E417">
        <v>27</v>
      </c>
      <c r="F417">
        <v>40</v>
      </c>
      <c r="G417">
        <v>2500</v>
      </c>
      <c r="H417" t="s">
        <v>190</v>
      </c>
    </row>
    <row r="418" spans="1:8" x14ac:dyDescent="0.25">
      <c r="A418" t="s">
        <v>697</v>
      </c>
      <c r="B418" t="s">
        <v>8</v>
      </c>
      <c r="C418" t="s">
        <v>9</v>
      </c>
      <c r="D418" t="s">
        <v>14</v>
      </c>
      <c r="E418">
        <v>69</v>
      </c>
      <c r="F418">
        <v>31</v>
      </c>
      <c r="G418">
        <v>8000</v>
      </c>
      <c r="H418" t="s">
        <v>698</v>
      </c>
    </row>
    <row r="419" spans="1:8" x14ac:dyDescent="0.25">
      <c r="A419" t="s">
        <v>699</v>
      </c>
      <c r="B419" t="s">
        <v>17</v>
      </c>
      <c r="C419" t="s">
        <v>9</v>
      </c>
      <c r="D419" t="s">
        <v>16</v>
      </c>
      <c r="E419">
        <v>125</v>
      </c>
      <c r="F419">
        <v>138</v>
      </c>
      <c r="G419">
        <v>500</v>
      </c>
      <c r="H419" t="s">
        <v>128</v>
      </c>
    </row>
    <row r="420" spans="1:8" x14ac:dyDescent="0.25">
      <c r="A420" t="s">
        <v>700</v>
      </c>
      <c r="B420" t="s">
        <v>13</v>
      </c>
      <c r="C420" t="s">
        <v>9</v>
      </c>
      <c r="D420" t="s">
        <v>18</v>
      </c>
      <c r="E420">
        <v>170</v>
      </c>
      <c r="F420">
        <v>12</v>
      </c>
      <c r="G420">
        <v>8000</v>
      </c>
      <c r="H420" t="s">
        <v>340</v>
      </c>
    </row>
    <row r="421" spans="1:8" x14ac:dyDescent="0.25">
      <c r="A421" t="s">
        <v>701</v>
      </c>
      <c r="B421" t="s">
        <v>52</v>
      </c>
      <c r="C421" t="s">
        <v>9</v>
      </c>
      <c r="D421" t="s">
        <v>26</v>
      </c>
      <c r="E421">
        <v>102</v>
      </c>
      <c r="F421">
        <v>128</v>
      </c>
      <c r="G421">
        <v>800</v>
      </c>
      <c r="H421" t="s">
        <v>248</v>
      </c>
    </row>
    <row r="422" spans="1:8" x14ac:dyDescent="0.25">
      <c r="A422" t="s">
        <v>702</v>
      </c>
      <c r="B422" t="s">
        <v>13</v>
      </c>
      <c r="C422" t="s">
        <v>9</v>
      </c>
      <c r="D422" t="s">
        <v>16</v>
      </c>
      <c r="E422">
        <v>160</v>
      </c>
      <c r="F422">
        <v>25</v>
      </c>
      <c r="G422">
        <v>55000</v>
      </c>
      <c r="H422" t="s">
        <v>703</v>
      </c>
    </row>
    <row r="423" spans="1:8" x14ac:dyDescent="0.25">
      <c r="A423" t="s">
        <v>704</v>
      </c>
      <c r="B423" t="s">
        <v>15</v>
      </c>
      <c r="C423" t="s">
        <v>9</v>
      </c>
      <c r="D423" t="s">
        <v>34</v>
      </c>
      <c r="E423">
        <v>166</v>
      </c>
      <c r="F423">
        <v>103</v>
      </c>
      <c r="G423">
        <v>500</v>
      </c>
      <c r="H423" t="s">
        <v>558</v>
      </c>
    </row>
    <row r="424" spans="1:8" x14ac:dyDescent="0.25">
      <c r="A424" t="s">
        <v>705</v>
      </c>
      <c r="B424" t="s">
        <v>96</v>
      </c>
      <c r="C424" t="s">
        <v>9</v>
      </c>
      <c r="D424" t="s">
        <v>18</v>
      </c>
      <c r="E424">
        <v>157</v>
      </c>
      <c r="F424">
        <v>28</v>
      </c>
      <c r="G424">
        <v>1500</v>
      </c>
      <c r="H424" t="s">
        <v>155</v>
      </c>
    </row>
    <row r="425" spans="1:8" x14ac:dyDescent="0.25">
      <c r="A425" t="s">
        <v>706</v>
      </c>
      <c r="B425" t="s">
        <v>11</v>
      </c>
      <c r="C425" t="s">
        <v>9</v>
      </c>
      <c r="D425" t="s">
        <v>26</v>
      </c>
      <c r="E425">
        <v>187</v>
      </c>
      <c r="F425">
        <v>70</v>
      </c>
      <c r="G425">
        <v>800</v>
      </c>
      <c r="H425" t="s">
        <v>707</v>
      </c>
    </row>
    <row r="426" spans="1:8" x14ac:dyDescent="0.25">
      <c r="A426" t="s">
        <v>708</v>
      </c>
      <c r="B426" t="s">
        <v>17</v>
      </c>
      <c r="C426" t="s">
        <v>9</v>
      </c>
      <c r="D426" t="s">
        <v>18</v>
      </c>
      <c r="E426">
        <v>175</v>
      </c>
      <c r="F426">
        <v>106</v>
      </c>
      <c r="G426">
        <v>5000</v>
      </c>
      <c r="H426" t="s">
        <v>482</v>
      </c>
    </row>
    <row r="427" spans="1:8" x14ac:dyDescent="0.25">
      <c r="A427" t="s">
        <v>709</v>
      </c>
      <c r="B427" t="s">
        <v>49</v>
      </c>
      <c r="C427" t="s">
        <v>9</v>
      </c>
      <c r="D427" t="s">
        <v>26</v>
      </c>
      <c r="E427">
        <v>55</v>
      </c>
      <c r="F427">
        <v>68</v>
      </c>
      <c r="G427">
        <v>800</v>
      </c>
      <c r="H427" t="s">
        <v>710</v>
      </c>
    </row>
    <row r="428" spans="1:8" x14ac:dyDescent="0.25">
      <c r="A428" t="s">
        <v>711</v>
      </c>
      <c r="B428" t="s">
        <v>8</v>
      </c>
      <c r="C428" t="s">
        <v>9</v>
      </c>
      <c r="D428" t="s">
        <v>31</v>
      </c>
      <c r="E428">
        <v>106</v>
      </c>
      <c r="F428">
        <v>23</v>
      </c>
      <c r="G428">
        <v>5000</v>
      </c>
      <c r="H428" t="s">
        <v>712</v>
      </c>
    </row>
    <row r="429" spans="1:8" x14ac:dyDescent="0.25">
      <c r="A429" t="s">
        <v>713</v>
      </c>
      <c r="B429" t="s">
        <v>25</v>
      </c>
      <c r="C429" t="s">
        <v>9</v>
      </c>
      <c r="D429" t="s">
        <v>16</v>
      </c>
      <c r="E429">
        <v>26</v>
      </c>
      <c r="F429">
        <v>82</v>
      </c>
      <c r="G429">
        <v>12000</v>
      </c>
      <c r="H429" t="s">
        <v>539</v>
      </c>
    </row>
    <row r="430" spans="1:8" x14ac:dyDescent="0.25">
      <c r="A430" t="s">
        <v>714</v>
      </c>
      <c r="B430" t="s">
        <v>25</v>
      </c>
      <c r="C430" t="s">
        <v>9</v>
      </c>
      <c r="D430" t="s">
        <v>34</v>
      </c>
      <c r="E430">
        <v>195</v>
      </c>
      <c r="F430">
        <v>32</v>
      </c>
      <c r="G430">
        <v>8000</v>
      </c>
      <c r="H430" t="s">
        <v>715</v>
      </c>
    </row>
    <row r="431" spans="1:8" x14ac:dyDescent="0.25">
      <c r="A431" t="s">
        <v>716</v>
      </c>
      <c r="B431" t="s">
        <v>17</v>
      </c>
      <c r="C431" t="s">
        <v>9</v>
      </c>
      <c r="D431" t="s">
        <v>34</v>
      </c>
      <c r="E431">
        <v>190</v>
      </c>
      <c r="F431">
        <v>117</v>
      </c>
      <c r="G431">
        <v>12000</v>
      </c>
      <c r="H431" t="s">
        <v>717</v>
      </c>
    </row>
    <row r="432" spans="1:8" x14ac:dyDescent="0.25">
      <c r="A432" t="s">
        <v>718</v>
      </c>
      <c r="B432" t="s">
        <v>25</v>
      </c>
      <c r="C432" t="s">
        <v>9</v>
      </c>
      <c r="D432" t="s">
        <v>31</v>
      </c>
      <c r="E432">
        <v>67</v>
      </c>
      <c r="F432">
        <v>36</v>
      </c>
      <c r="G432">
        <v>30000</v>
      </c>
      <c r="H432" t="s">
        <v>719</v>
      </c>
    </row>
    <row r="433" spans="1:8" x14ac:dyDescent="0.25">
      <c r="A433" t="s">
        <v>720</v>
      </c>
      <c r="B433" t="s">
        <v>15</v>
      </c>
      <c r="C433" t="s">
        <v>9</v>
      </c>
      <c r="D433" t="s">
        <v>14</v>
      </c>
      <c r="E433">
        <v>193</v>
      </c>
      <c r="F433">
        <v>38</v>
      </c>
      <c r="G433">
        <v>8000</v>
      </c>
      <c r="H433" t="s">
        <v>721</v>
      </c>
    </row>
    <row r="434" spans="1:8" x14ac:dyDescent="0.25">
      <c r="A434" t="s">
        <v>722</v>
      </c>
      <c r="B434" t="s">
        <v>96</v>
      </c>
      <c r="C434" t="s">
        <v>9</v>
      </c>
      <c r="D434" t="s">
        <v>12</v>
      </c>
      <c r="E434">
        <v>195</v>
      </c>
      <c r="F434">
        <v>111</v>
      </c>
      <c r="G434">
        <v>2500</v>
      </c>
      <c r="H434" t="s">
        <v>151</v>
      </c>
    </row>
    <row r="435" spans="1:8" x14ac:dyDescent="0.25">
      <c r="A435" t="s">
        <v>723</v>
      </c>
      <c r="B435" t="s">
        <v>17</v>
      </c>
      <c r="C435" t="s">
        <v>9</v>
      </c>
      <c r="D435" t="s">
        <v>34</v>
      </c>
      <c r="E435">
        <v>141</v>
      </c>
      <c r="F435">
        <v>100</v>
      </c>
      <c r="G435">
        <v>55000</v>
      </c>
      <c r="H435" t="s">
        <v>135</v>
      </c>
    </row>
    <row r="436" spans="1:8" x14ac:dyDescent="0.25">
      <c r="A436" t="s">
        <v>724</v>
      </c>
      <c r="B436" t="s">
        <v>39</v>
      </c>
      <c r="C436" t="s">
        <v>9</v>
      </c>
      <c r="D436" t="s">
        <v>26</v>
      </c>
      <c r="E436">
        <v>161</v>
      </c>
      <c r="F436">
        <v>114</v>
      </c>
      <c r="G436">
        <v>800</v>
      </c>
      <c r="H436" t="s">
        <v>725</v>
      </c>
    </row>
    <row r="437" spans="1:8" x14ac:dyDescent="0.25">
      <c r="A437" t="s">
        <v>726</v>
      </c>
      <c r="B437" t="s">
        <v>17</v>
      </c>
      <c r="C437" t="s">
        <v>9</v>
      </c>
      <c r="D437" t="s">
        <v>74</v>
      </c>
      <c r="E437">
        <v>43</v>
      </c>
      <c r="F437">
        <v>132</v>
      </c>
      <c r="G437">
        <v>800</v>
      </c>
      <c r="H437" t="s">
        <v>707</v>
      </c>
    </row>
    <row r="438" spans="1:8" x14ac:dyDescent="0.25">
      <c r="A438" t="s">
        <v>727</v>
      </c>
      <c r="B438" t="s">
        <v>96</v>
      </c>
      <c r="C438" t="s">
        <v>9</v>
      </c>
      <c r="D438" t="s">
        <v>10</v>
      </c>
      <c r="E438">
        <v>82</v>
      </c>
      <c r="F438">
        <v>67</v>
      </c>
      <c r="G438">
        <v>2500</v>
      </c>
      <c r="H438" t="s">
        <v>261</v>
      </c>
    </row>
    <row r="439" spans="1:8" x14ac:dyDescent="0.25">
      <c r="A439" t="s">
        <v>728</v>
      </c>
      <c r="B439" t="s">
        <v>96</v>
      </c>
      <c r="C439" t="s">
        <v>9</v>
      </c>
      <c r="D439" t="s">
        <v>16</v>
      </c>
      <c r="E439">
        <v>25</v>
      </c>
      <c r="F439">
        <v>4</v>
      </c>
      <c r="G439">
        <v>2500</v>
      </c>
      <c r="H439" t="s">
        <v>729</v>
      </c>
    </row>
    <row r="440" spans="1:8" x14ac:dyDescent="0.25">
      <c r="A440" t="s">
        <v>730</v>
      </c>
      <c r="B440" t="s">
        <v>11</v>
      </c>
      <c r="C440" t="s">
        <v>9</v>
      </c>
      <c r="D440" t="s">
        <v>16</v>
      </c>
      <c r="E440">
        <v>27</v>
      </c>
      <c r="F440">
        <v>108</v>
      </c>
      <c r="G440">
        <v>30000</v>
      </c>
      <c r="H440" t="s">
        <v>684</v>
      </c>
    </row>
    <row r="441" spans="1:8" x14ac:dyDescent="0.25">
      <c r="A441" t="s">
        <v>731</v>
      </c>
      <c r="B441" t="s">
        <v>39</v>
      </c>
      <c r="C441" t="s">
        <v>9</v>
      </c>
      <c r="D441" t="s">
        <v>12</v>
      </c>
      <c r="E441">
        <v>166</v>
      </c>
      <c r="F441">
        <v>15</v>
      </c>
      <c r="G441">
        <v>2500</v>
      </c>
      <c r="H441" t="s">
        <v>313</v>
      </c>
    </row>
    <row r="442" spans="1:8" x14ac:dyDescent="0.25">
      <c r="A442" t="s">
        <v>732</v>
      </c>
      <c r="B442" t="s">
        <v>15</v>
      </c>
      <c r="C442" t="s">
        <v>9</v>
      </c>
      <c r="D442" t="s">
        <v>34</v>
      </c>
      <c r="E442">
        <v>150</v>
      </c>
      <c r="F442">
        <v>40</v>
      </c>
      <c r="G442">
        <v>500</v>
      </c>
      <c r="H442" t="s">
        <v>733</v>
      </c>
    </row>
    <row r="443" spans="1:8" x14ac:dyDescent="0.25">
      <c r="A443" t="s">
        <v>734</v>
      </c>
      <c r="B443" t="s">
        <v>96</v>
      </c>
      <c r="C443" t="s">
        <v>9</v>
      </c>
      <c r="D443" t="s">
        <v>74</v>
      </c>
      <c r="E443">
        <v>48</v>
      </c>
      <c r="F443">
        <v>121</v>
      </c>
      <c r="G443">
        <v>55000</v>
      </c>
      <c r="H443" t="s">
        <v>636</v>
      </c>
    </row>
    <row r="444" spans="1:8" x14ac:dyDescent="0.25">
      <c r="A444" t="s">
        <v>735</v>
      </c>
      <c r="B444" t="s">
        <v>49</v>
      </c>
      <c r="C444" t="s">
        <v>9</v>
      </c>
      <c r="D444" t="s">
        <v>74</v>
      </c>
      <c r="E444">
        <v>43</v>
      </c>
      <c r="F444">
        <v>56</v>
      </c>
      <c r="G444">
        <v>55000</v>
      </c>
      <c r="H444" t="s">
        <v>391</v>
      </c>
    </row>
    <row r="445" spans="1:8" x14ac:dyDescent="0.25">
      <c r="A445" t="s">
        <v>736</v>
      </c>
      <c r="B445" t="s">
        <v>39</v>
      </c>
      <c r="C445" t="s">
        <v>9</v>
      </c>
      <c r="D445" t="s">
        <v>10</v>
      </c>
      <c r="E445">
        <v>115</v>
      </c>
      <c r="F445">
        <v>41</v>
      </c>
      <c r="G445">
        <v>2500</v>
      </c>
      <c r="H445" t="s">
        <v>178</v>
      </c>
    </row>
    <row r="446" spans="1:8" x14ac:dyDescent="0.25">
      <c r="A446" t="s">
        <v>737</v>
      </c>
      <c r="B446" t="s">
        <v>49</v>
      </c>
      <c r="C446" t="s">
        <v>9</v>
      </c>
      <c r="D446" t="s">
        <v>26</v>
      </c>
      <c r="E446">
        <v>149</v>
      </c>
      <c r="F446">
        <v>133</v>
      </c>
      <c r="G446">
        <v>1500</v>
      </c>
      <c r="H446" t="s">
        <v>684</v>
      </c>
    </row>
    <row r="447" spans="1:8" x14ac:dyDescent="0.25">
      <c r="A447" t="s">
        <v>738</v>
      </c>
      <c r="B447" t="s">
        <v>49</v>
      </c>
      <c r="C447" t="s">
        <v>9</v>
      </c>
      <c r="D447" t="s">
        <v>31</v>
      </c>
      <c r="E447">
        <v>77</v>
      </c>
      <c r="F447">
        <v>12</v>
      </c>
      <c r="G447">
        <v>800</v>
      </c>
      <c r="H447" t="s">
        <v>560</v>
      </c>
    </row>
    <row r="448" spans="1:8" x14ac:dyDescent="0.25">
      <c r="A448" t="s">
        <v>739</v>
      </c>
      <c r="B448" t="s">
        <v>11</v>
      </c>
      <c r="C448" t="s">
        <v>9</v>
      </c>
      <c r="D448" t="s">
        <v>34</v>
      </c>
      <c r="E448">
        <v>192</v>
      </c>
      <c r="F448">
        <v>32</v>
      </c>
      <c r="G448">
        <v>1500</v>
      </c>
      <c r="H448" t="s">
        <v>740</v>
      </c>
    </row>
    <row r="449" spans="1:8" x14ac:dyDescent="0.25">
      <c r="A449" t="s">
        <v>741</v>
      </c>
      <c r="B449" t="s">
        <v>96</v>
      </c>
      <c r="C449" t="s">
        <v>9</v>
      </c>
      <c r="D449" t="s">
        <v>14</v>
      </c>
      <c r="E449">
        <v>56</v>
      </c>
      <c r="F449">
        <v>132</v>
      </c>
      <c r="G449">
        <v>30000</v>
      </c>
      <c r="H449" t="s">
        <v>742</v>
      </c>
    </row>
    <row r="450" spans="1:8" x14ac:dyDescent="0.25">
      <c r="A450" t="s">
        <v>743</v>
      </c>
      <c r="B450" t="s">
        <v>11</v>
      </c>
      <c r="C450" t="s">
        <v>9</v>
      </c>
      <c r="D450" t="s">
        <v>46</v>
      </c>
      <c r="E450">
        <v>41</v>
      </c>
      <c r="F450">
        <v>62</v>
      </c>
      <c r="G450">
        <v>12000</v>
      </c>
      <c r="H450" t="s">
        <v>79</v>
      </c>
    </row>
    <row r="451" spans="1:8" x14ac:dyDescent="0.25">
      <c r="A451" t="s">
        <v>744</v>
      </c>
      <c r="B451" t="s">
        <v>17</v>
      </c>
      <c r="C451" t="s">
        <v>9</v>
      </c>
      <c r="D451" t="s">
        <v>74</v>
      </c>
      <c r="E451">
        <v>150</v>
      </c>
      <c r="F451">
        <v>13</v>
      </c>
      <c r="G451">
        <v>8000</v>
      </c>
      <c r="H451" t="s">
        <v>634</v>
      </c>
    </row>
    <row r="452" spans="1:8" x14ac:dyDescent="0.25">
      <c r="A452" t="s">
        <v>745</v>
      </c>
      <c r="B452" t="s">
        <v>15</v>
      </c>
      <c r="C452" t="s">
        <v>9</v>
      </c>
      <c r="D452" t="s">
        <v>31</v>
      </c>
      <c r="E452">
        <v>112</v>
      </c>
      <c r="F452">
        <v>49</v>
      </c>
      <c r="G452">
        <v>5000</v>
      </c>
      <c r="H452" t="s">
        <v>670</v>
      </c>
    </row>
    <row r="453" spans="1:8" x14ac:dyDescent="0.25">
      <c r="A453" t="s">
        <v>746</v>
      </c>
      <c r="B453" t="s">
        <v>52</v>
      </c>
      <c r="C453" t="s">
        <v>9</v>
      </c>
      <c r="D453" t="s">
        <v>34</v>
      </c>
      <c r="E453">
        <v>97</v>
      </c>
      <c r="F453">
        <v>25</v>
      </c>
      <c r="G453">
        <v>800</v>
      </c>
      <c r="H453" t="s">
        <v>230</v>
      </c>
    </row>
    <row r="454" spans="1:8" x14ac:dyDescent="0.25">
      <c r="A454" t="s">
        <v>747</v>
      </c>
      <c r="B454" t="s">
        <v>8</v>
      </c>
      <c r="C454" t="s">
        <v>9</v>
      </c>
      <c r="D454" t="s">
        <v>74</v>
      </c>
      <c r="E454">
        <v>110</v>
      </c>
      <c r="F454">
        <v>128</v>
      </c>
      <c r="G454">
        <v>5000</v>
      </c>
      <c r="H454" t="s">
        <v>748</v>
      </c>
    </row>
    <row r="455" spans="1:8" x14ac:dyDescent="0.25">
      <c r="A455" t="s">
        <v>749</v>
      </c>
      <c r="B455" t="s">
        <v>25</v>
      </c>
      <c r="C455" t="s">
        <v>9</v>
      </c>
      <c r="D455" t="s">
        <v>34</v>
      </c>
      <c r="E455">
        <v>28</v>
      </c>
      <c r="F455">
        <v>88</v>
      </c>
      <c r="G455">
        <v>1500</v>
      </c>
      <c r="H455" t="s">
        <v>729</v>
      </c>
    </row>
    <row r="456" spans="1:8" x14ac:dyDescent="0.25">
      <c r="A456" t="s">
        <v>750</v>
      </c>
      <c r="B456" t="s">
        <v>15</v>
      </c>
      <c r="C456" t="s">
        <v>9</v>
      </c>
      <c r="D456" t="s">
        <v>74</v>
      </c>
      <c r="E456">
        <v>53</v>
      </c>
      <c r="F456">
        <v>86</v>
      </c>
      <c r="G456">
        <v>2500</v>
      </c>
      <c r="H456" t="s">
        <v>270</v>
      </c>
    </row>
    <row r="457" spans="1:8" x14ac:dyDescent="0.25">
      <c r="A457" t="s">
        <v>751</v>
      </c>
      <c r="B457" t="s">
        <v>25</v>
      </c>
      <c r="C457" t="s">
        <v>9</v>
      </c>
      <c r="D457" t="s">
        <v>46</v>
      </c>
      <c r="E457">
        <v>182</v>
      </c>
      <c r="F457">
        <v>101</v>
      </c>
      <c r="G457">
        <v>800</v>
      </c>
      <c r="H457" t="s">
        <v>684</v>
      </c>
    </row>
    <row r="458" spans="1:8" x14ac:dyDescent="0.25">
      <c r="A458" t="s">
        <v>752</v>
      </c>
      <c r="B458" t="s">
        <v>96</v>
      </c>
      <c r="C458" t="s">
        <v>9</v>
      </c>
      <c r="D458" t="s">
        <v>46</v>
      </c>
      <c r="E458">
        <v>158</v>
      </c>
      <c r="F458">
        <v>50</v>
      </c>
      <c r="G458">
        <v>800</v>
      </c>
      <c r="H458" t="s">
        <v>459</v>
      </c>
    </row>
    <row r="459" spans="1:8" x14ac:dyDescent="0.25">
      <c r="A459" t="s">
        <v>753</v>
      </c>
      <c r="B459" t="s">
        <v>11</v>
      </c>
      <c r="C459" t="s">
        <v>9</v>
      </c>
      <c r="D459" t="s">
        <v>16</v>
      </c>
      <c r="E459">
        <v>35</v>
      </c>
      <c r="F459">
        <v>18</v>
      </c>
      <c r="G459">
        <v>12000</v>
      </c>
      <c r="H459" t="s">
        <v>754</v>
      </c>
    </row>
    <row r="460" spans="1:8" x14ac:dyDescent="0.25">
      <c r="A460" t="s">
        <v>755</v>
      </c>
      <c r="B460" t="s">
        <v>39</v>
      </c>
      <c r="C460" t="s">
        <v>9</v>
      </c>
      <c r="D460" t="s">
        <v>10</v>
      </c>
      <c r="E460">
        <v>169</v>
      </c>
      <c r="F460">
        <v>91</v>
      </c>
      <c r="G460">
        <v>8000</v>
      </c>
      <c r="H460" t="s">
        <v>137</v>
      </c>
    </row>
    <row r="461" spans="1:8" x14ac:dyDescent="0.25">
      <c r="A461" t="s">
        <v>756</v>
      </c>
      <c r="B461" t="s">
        <v>11</v>
      </c>
      <c r="C461" t="s">
        <v>9</v>
      </c>
      <c r="D461" t="s">
        <v>18</v>
      </c>
      <c r="E461">
        <v>51</v>
      </c>
      <c r="F461">
        <v>14</v>
      </c>
      <c r="G461">
        <v>30000</v>
      </c>
      <c r="H461" t="s">
        <v>122</v>
      </c>
    </row>
    <row r="462" spans="1:8" x14ac:dyDescent="0.25">
      <c r="A462" t="s">
        <v>757</v>
      </c>
      <c r="B462" t="s">
        <v>15</v>
      </c>
      <c r="C462" t="s">
        <v>9</v>
      </c>
      <c r="D462" t="s">
        <v>14</v>
      </c>
      <c r="E462">
        <v>38</v>
      </c>
      <c r="F462">
        <v>120</v>
      </c>
      <c r="G462">
        <v>1200</v>
      </c>
      <c r="H462" t="s">
        <v>137</v>
      </c>
    </row>
    <row r="463" spans="1:8" x14ac:dyDescent="0.25">
      <c r="A463" t="s">
        <v>758</v>
      </c>
      <c r="B463" t="s">
        <v>17</v>
      </c>
      <c r="C463" t="s">
        <v>9</v>
      </c>
      <c r="D463" t="s">
        <v>26</v>
      </c>
      <c r="E463">
        <v>192</v>
      </c>
      <c r="F463">
        <v>108</v>
      </c>
      <c r="G463">
        <v>8000</v>
      </c>
      <c r="H463" t="s">
        <v>37</v>
      </c>
    </row>
    <row r="464" spans="1:8" x14ac:dyDescent="0.25">
      <c r="A464" t="s">
        <v>759</v>
      </c>
      <c r="B464" t="s">
        <v>39</v>
      </c>
      <c r="C464" t="s">
        <v>9</v>
      </c>
      <c r="D464" t="s">
        <v>31</v>
      </c>
      <c r="E464">
        <v>123</v>
      </c>
      <c r="F464">
        <v>34</v>
      </c>
      <c r="G464">
        <v>1200</v>
      </c>
      <c r="H464" t="s">
        <v>760</v>
      </c>
    </row>
    <row r="465" spans="1:8" x14ac:dyDescent="0.25">
      <c r="A465" t="s">
        <v>761</v>
      </c>
      <c r="B465" t="s">
        <v>11</v>
      </c>
      <c r="C465" t="s">
        <v>9</v>
      </c>
      <c r="D465" t="s">
        <v>34</v>
      </c>
      <c r="E465">
        <v>164</v>
      </c>
      <c r="F465">
        <v>79</v>
      </c>
      <c r="G465">
        <v>800</v>
      </c>
      <c r="H465" t="s">
        <v>380</v>
      </c>
    </row>
    <row r="466" spans="1:8" x14ac:dyDescent="0.25">
      <c r="A466" t="s">
        <v>762</v>
      </c>
      <c r="B466" t="s">
        <v>11</v>
      </c>
      <c r="C466" t="s">
        <v>9</v>
      </c>
      <c r="D466" t="s">
        <v>10</v>
      </c>
      <c r="E466">
        <v>111</v>
      </c>
      <c r="F466">
        <v>72</v>
      </c>
      <c r="G466">
        <v>1500</v>
      </c>
      <c r="H466" t="s">
        <v>763</v>
      </c>
    </row>
    <row r="467" spans="1:8" x14ac:dyDescent="0.25">
      <c r="A467" t="s">
        <v>764</v>
      </c>
      <c r="B467" t="s">
        <v>39</v>
      </c>
      <c r="C467" t="s">
        <v>9</v>
      </c>
      <c r="D467" t="s">
        <v>10</v>
      </c>
      <c r="E467">
        <v>48</v>
      </c>
      <c r="F467">
        <v>55</v>
      </c>
      <c r="G467">
        <v>8000</v>
      </c>
      <c r="H467" t="s">
        <v>765</v>
      </c>
    </row>
    <row r="468" spans="1:8" x14ac:dyDescent="0.25">
      <c r="A468" t="s">
        <v>766</v>
      </c>
      <c r="B468" t="s">
        <v>17</v>
      </c>
      <c r="C468" t="s">
        <v>9</v>
      </c>
      <c r="D468" t="s">
        <v>26</v>
      </c>
      <c r="E468">
        <v>64</v>
      </c>
      <c r="F468">
        <v>118</v>
      </c>
      <c r="G468">
        <v>1500</v>
      </c>
      <c r="H468" t="s">
        <v>169</v>
      </c>
    </row>
    <row r="469" spans="1:8" x14ac:dyDescent="0.25">
      <c r="A469" t="s">
        <v>767</v>
      </c>
      <c r="B469" t="s">
        <v>17</v>
      </c>
      <c r="C469" t="s">
        <v>9</v>
      </c>
      <c r="D469" t="s">
        <v>46</v>
      </c>
      <c r="E469">
        <v>191</v>
      </c>
      <c r="F469">
        <v>57</v>
      </c>
      <c r="G469">
        <v>2500</v>
      </c>
      <c r="H469" t="s">
        <v>768</v>
      </c>
    </row>
    <row r="470" spans="1:8" x14ac:dyDescent="0.25">
      <c r="A470" t="s">
        <v>769</v>
      </c>
      <c r="B470" t="s">
        <v>11</v>
      </c>
      <c r="C470" t="s">
        <v>9</v>
      </c>
      <c r="D470" t="s">
        <v>34</v>
      </c>
      <c r="E470">
        <v>129</v>
      </c>
      <c r="F470">
        <v>110</v>
      </c>
      <c r="G470">
        <v>8000</v>
      </c>
      <c r="H470" t="s">
        <v>770</v>
      </c>
    </row>
    <row r="471" spans="1:8" x14ac:dyDescent="0.25">
      <c r="A471" t="s">
        <v>771</v>
      </c>
      <c r="B471" t="s">
        <v>13</v>
      </c>
      <c r="C471" t="s">
        <v>9</v>
      </c>
      <c r="D471" t="s">
        <v>16</v>
      </c>
      <c r="E471">
        <v>135</v>
      </c>
      <c r="F471">
        <v>78</v>
      </c>
      <c r="G471">
        <v>8000</v>
      </c>
      <c r="H471" t="s">
        <v>342</v>
      </c>
    </row>
    <row r="472" spans="1:8" x14ac:dyDescent="0.25">
      <c r="A472" t="s">
        <v>772</v>
      </c>
      <c r="B472" t="s">
        <v>52</v>
      </c>
      <c r="C472" t="s">
        <v>9</v>
      </c>
      <c r="D472" t="s">
        <v>34</v>
      </c>
      <c r="E472">
        <v>60</v>
      </c>
      <c r="F472">
        <v>33</v>
      </c>
      <c r="G472">
        <v>500</v>
      </c>
      <c r="H472" t="s">
        <v>484</v>
      </c>
    </row>
    <row r="473" spans="1:8" x14ac:dyDescent="0.25">
      <c r="A473" t="s">
        <v>773</v>
      </c>
      <c r="B473" t="s">
        <v>96</v>
      </c>
      <c r="C473" t="s">
        <v>9</v>
      </c>
      <c r="D473" t="s">
        <v>16</v>
      </c>
      <c r="E473">
        <v>155</v>
      </c>
      <c r="F473">
        <v>101</v>
      </c>
      <c r="G473">
        <v>8000</v>
      </c>
      <c r="H473" t="s">
        <v>77</v>
      </c>
    </row>
    <row r="474" spans="1:8" x14ac:dyDescent="0.25">
      <c r="A474" t="s">
        <v>774</v>
      </c>
      <c r="B474" t="s">
        <v>52</v>
      </c>
      <c r="C474" t="s">
        <v>9</v>
      </c>
      <c r="D474" t="s">
        <v>10</v>
      </c>
      <c r="E474">
        <v>165</v>
      </c>
      <c r="F474">
        <v>81</v>
      </c>
      <c r="G474">
        <v>30000</v>
      </c>
      <c r="H474" t="s">
        <v>775</v>
      </c>
    </row>
    <row r="475" spans="1:8" x14ac:dyDescent="0.25">
      <c r="A475" t="s">
        <v>776</v>
      </c>
      <c r="B475" t="s">
        <v>25</v>
      </c>
      <c r="C475" t="s">
        <v>9</v>
      </c>
      <c r="D475" t="s">
        <v>46</v>
      </c>
      <c r="E475">
        <v>130</v>
      </c>
      <c r="F475">
        <v>25</v>
      </c>
      <c r="G475">
        <v>500</v>
      </c>
      <c r="H475" t="s">
        <v>145</v>
      </c>
    </row>
    <row r="476" spans="1:8" x14ac:dyDescent="0.25">
      <c r="A476" t="s">
        <v>777</v>
      </c>
      <c r="B476" t="s">
        <v>25</v>
      </c>
      <c r="C476" t="s">
        <v>9</v>
      </c>
      <c r="D476" t="s">
        <v>74</v>
      </c>
      <c r="E476">
        <v>197</v>
      </c>
      <c r="F476">
        <v>83</v>
      </c>
      <c r="G476">
        <v>800</v>
      </c>
      <c r="H476" t="s">
        <v>391</v>
      </c>
    </row>
    <row r="477" spans="1:8" x14ac:dyDescent="0.25">
      <c r="A477" t="s">
        <v>778</v>
      </c>
      <c r="B477" t="s">
        <v>15</v>
      </c>
      <c r="C477" t="s">
        <v>9</v>
      </c>
      <c r="D477" t="s">
        <v>10</v>
      </c>
      <c r="E477">
        <v>134</v>
      </c>
      <c r="F477">
        <v>20</v>
      </c>
      <c r="G477">
        <v>8000</v>
      </c>
      <c r="H477" t="s">
        <v>110</v>
      </c>
    </row>
    <row r="478" spans="1:8" x14ac:dyDescent="0.25">
      <c r="A478" t="s">
        <v>779</v>
      </c>
      <c r="B478" t="s">
        <v>39</v>
      </c>
      <c r="C478" t="s">
        <v>9</v>
      </c>
      <c r="D478" t="s">
        <v>46</v>
      </c>
      <c r="E478">
        <v>165</v>
      </c>
      <c r="F478">
        <v>83</v>
      </c>
      <c r="G478">
        <v>5000</v>
      </c>
      <c r="H478" t="s">
        <v>780</v>
      </c>
    </row>
    <row r="479" spans="1:8" x14ac:dyDescent="0.25">
      <c r="A479" t="s">
        <v>781</v>
      </c>
      <c r="B479" t="s">
        <v>25</v>
      </c>
      <c r="C479" t="s">
        <v>9</v>
      </c>
      <c r="D479" t="s">
        <v>18</v>
      </c>
      <c r="E479">
        <v>188</v>
      </c>
      <c r="F479">
        <v>34</v>
      </c>
      <c r="G479">
        <v>800</v>
      </c>
      <c r="H479" t="s">
        <v>782</v>
      </c>
    </row>
    <row r="480" spans="1:8" x14ac:dyDescent="0.25">
      <c r="A480" t="s">
        <v>783</v>
      </c>
      <c r="B480" t="s">
        <v>49</v>
      </c>
      <c r="C480" t="s">
        <v>9</v>
      </c>
      <c r="D480" t="s">
        <v>74</v>
      </c>
      <c r="E480">
        <v>171</v>
      </c>
      <c r="F480">
        <v>146</v>
      </c>
      <c r="G480">
        <v>8000</v>
      </c>
      <c r="H480" t="s">
        <v>516</v>
      </c>
    </row>
    <row r="481" spans="1:8" x14ac:dyDescent="0.25">
      <c r="A481" t="s">
        <v>784</v>
      </c>
      <c r="B481" t="s">
        <v>11</v>
      </c>
      <c r="C481" t="s">
        <v>9</v>
      </c>
      <c r="D481" t="s">
        <v>34</v>
      </c>
      <c r="E481">
        <v>150</v>
      </c>
      <c r="F481">
        <v>105</v>
      </c>
      <c r="G481">
        <v>1500</v>
      </c>
      <c r="H481" t="s">
        <v>785</v>
      </c>
    </row>
    <row r="482" spans="1:8" x14ac:dyDescent="0.25">
      <c r="A482" t="s">
        <v>786</v>
      </c>
      <c r="B482" t="s">
        <v>39</v>
      </c>
      <c r="C482" t="s">
        <v>9</v>
      </c>
      <c r="D482" t="s">
        <v>16</v>
      </c>
      <c r="E482">
        <v>66</v>
      </c>
      <c r="F482">
        <v>140</v>
      </c>
      <c r="G482">
        <v>55000</v>
      </c>
      <c r="H482" t="s">
        <v>198</v>
      </c>
    </row>
    <row r="483" spans="1:8" x14ac:dyDescent="0.25">
      <c r="A483" t="s">
        <v>787</v>
      </c>
      <c r="B483" t="s">
        <v>52</v>
      </c>
      <c r="C483" t="s">
        <v>9</v>
      </c>
      <c r="D483" t="s">
        <v>16</v>
      </c>
      <c r="E483">
        <v>77</v>
      </c>
      <c r="F483">
        <v>116</v>
      </c>
      <c r="G483">
        <v>1500</v>
      </c>
      <c r="H483" t="s">
        <v>233</v>
      </c>
    </row>
    <row r="484" spans="1:8" x14ac:dyDescent="0.25">
      <c r="A484" t="s">
        <v>788</v>
      </c>
      <c r="B484" t="s">
        <v>52</v>
      </c>
      <c r="C484" t="s">
        <v>9</v>
      </c>
      <c r="D484" t="s">
        <v>14</v>
      </c>
      <c r="E484">
        <v>130</v>
      </c>
      <c r="F484">
        <v>45</v>
      </c>
      <c r="G484">
        <v>30000</v>
      </c>
      <c r="H484" t="s">
        <v>789</v>
      </c>
    </row>
    <row r="485" spans="1:8" x14ac:dyDescent="0.25">
      <c r="A485" t="s">
        <v>790</v>
      </c>
      <c r="B485" t="s">
        <v>15</v>
      </c>
      <c r="C485" t="s">
        <v>9</v>
      </c>
      <c r="D485" t="s">
        <v>26</v>
      </c>
      <c r="E485">
        <v>120</v>
      </c>
      <c r="F485">
        <v>131</v>
      </c>
      <c r="G485">
        <v>500</v>
      </c>
      <c r="H485" t="s">
        <v>293</v>
      </c>
    </row>
    <row r="486" spans="1:8" x14ac:dyDescent="0.25">
      <c r="A486" t="s">
        <v>791</v>
      </c>
      <c r="B486" t="s">
        <v>17</v>
      </c>
      <c r="C486" t="s">
        <v>9</v>
      </c>
      <c r="D486" t="s">
        <v>16</v>
      </c>
      <c r="E486">
        <v>75</v>
      </c>
      <c r="F486">
        <v>27</v>
      </c>
      <c r="G486">
        <v>1500</v>
      </c>
      <c r="H486" t="s">
        <v>792</v>
      </c>
    </row>
    <row r="487" spans="1:8" x14ac:dyDescent="0.25">
      <c r="A487" t="s">
        <v>793</v>
      </c>
      <c r="B487" t="s">
        <v>39</v>
      </c>
      <c r="C487" t="s">
        <v>9</v>
      </c>
      <c r="D487" t="s">
        <v>10</v>
      </c>
      <c r="E487">
        <v>117</v>
      </c>
      <c r="F487">
        <v>12</v>
      </c>
      <c r="G487">
        <v>800</v>
      </c>
      <c r="H487" t="s">
        <v>497</v>
      </c>
    </row>
    <row r="488" spans="1:8" x14ac:dyDescent="0.25">
      <c r="A488" t="s">
        <v>794</v>
      </c>
      <c r="B488" t="s">
        <v>11</v>
      </c>
      <c r="C488" t="s">
        <v>9</v>
      </c>
      <c r="D488" t="s">
        <v>18</v>
      </c>
      <c r="E488">
        <v>99</v>
      </c>
      <c r="F488">
        <v>119</v>
      </c>
      <c r="G488">
        <v>800</v>
      </c>
      <c r="H488" t="s">
        <v>795</v>
      </c>
    </row>
    <row r="489" spans="1:8" x14ac:dyDescent="0.25">
      <c r="A489" t="s">
        <v>796</v>
      </c>
      <c r="B489" t="s">
        <v>52</v>
      </c>
      <c r="C489" t="s">
        <v>9</v>
      </c>
      <c r="D489" t="s">
        <v>31</v>
      </c>
      <c r="E489">
        <v>49</v>
      </c>
      <c r="F489">
        <v>139</v>
      </c>
      <c r="G489">
        <v>12000</v>
      </c>
      <c r="H489" t="s">
        <v>797</v>
      </c>
    </row>
    <row r="490" spans="1:8" x14ac:dyDescent="0.25">
      <c r="A490" t="s">
        <v>798</v>
      </c>
      <c r="B490" t="s">
        <v>13</v>
      </c>
      <c r="C490" t="s">
        <v>9</v>
      </c>
      <c r="D490" t="s">
        <v>10</v>
      </c>
      <c r="E490">
        <v>104</v>
      </c>
      <c r="F490">
        <v>0</v>
      </c>
      <c r="G490">
        <v>2500</v>
      </c>
      <c r="H490" t="s">
        <v>799</v>
      </c>
    </row>
    <row r="491" spans="1:8" x14ac:dyDescent="0.25">
      <c r="A491" t="s">
        <v>800</v>
      </c>
      <c r="B491" t="s">
        <v>52</v>
      </c>
      <c r="C491" t="s">
        <v>9</v>
      </c>
      <c r="D491" t="s">
        <v>34</v>
      </c>
      <c r="E491">
        <v>180</v>
      </c>
      <c r="F491">
        <v>89</v>
      </c>
      <c r="G491">
        <v>500</v>
      </c>
      <c r="H491" t="s">
        <v>801</v>
      </c>
    </row>
    <row r="492" spans="1:8" x14ac:dyDescent="0.25">
      <c r="A492" t="s">
        <v>802</v>
      </c>
      <c r="B492" t="s">
        <v>15</v>
      </c>
      <c r="C492" t="s">
        <v>9</v>
      </c>
      <c r="D492" t="s">
        <v>26</v>
      </c>
      <c r="E492">
        <v>136</v>
      </c>
      <c r="F492">
        <v>103</v>
      </c>
      <c r="G492">
        <v>12000</v>
      </c>
      <c r="H492" t="s">
        <v>801</v>
      </c>
    </row>
    <row r="493" spans="1:8" x14ac:dyDescent="0.25">
      <c r="A493" t="s">
        <v>803</v>
      </c>
      <c r="B493" t="s">
        <v>11</v>
      </c>
      <c r="C493" t="s">
        <v>9</v>
      </c>
      <c r="D493" t="s">
        <v>14</v>
      </c>
      <c r="E493">
        <v>177</v>
      </c>
      <c r="F493">
        <v>123</v>
      </c>
      <c r="G493">
        <v>2500</v>
      </c>
      <c r="H493" t="s">
        <v>75</v>
      </c>
    </row>
    <row r="494" spans="1:8" x14ac:dyDescent="0.25">
      <c r="A494" t="s">
        <v>804</v>
      </c>
      <c r="B494" t="s">
        <v>13</v>
      </c>
      <c r="C494" t="s">
        <v>9</v>
      </c>
      <c r="D494" t="s">
        <v>12</v>
      </c>
      <c r="E494">
        <v>77</v>
      </c>
      <c r="F494">
        <v>97</v>
      </c>
      <c r="G494">
        <v>2500</v>
      </c>
      <c r="H494" t="s">
        <v>97</v>
      </c>
    </row>
    <row r="495" spans="1:8" x14ac:dyDescent="0.25">
      <c r="A495" t="s">
        <v>805</v>
      </c>
      <c r="B495" t="s">
        <v>39</v>
      </c>
      <c r="C495" t="s">
        <v>9</v>
      </c>
      <c r="D495" t="s">
        <v>31</v>
      </c>
      <c r="E495">
        <v>190</v>
      </c>
      <c r="F495">
        <v>16</v>
      </c>
      <c r="G495">
        <v>1500</v>
      </c>
      <c r="H495" t="s">
        <v>806</v>
      </c>
    </row>
    <row r="496" spans="1:8" x14ac:dyDescent="0.25">
      <c r="A496" t="s">
        <v>807</v>
      </c>
      <c r="B496" t="s">
        <v>96</v>
      </c>
      <c r="C496" t="s">
        <v>9</v>
      </c>
      <c r="D496" t="s">
        <v>16</v>
      </c>
      <c r="E496">
        <v>192</v>
      </c>
      <c r="F496">
        <v>99</v>
      </c>
      <c r="G496">
        <v>500</v>
      </c>
      <c r="H496" t="s">
        <v>541</v>
      </c>
    </row>
    <row r="497" spans="1:8" x14ac:dyDescent="0.25">
      <c r="A497" t="s">
        <v>808</v>
      </c>
      <c r="B497" t="s">
        <v>49</v>
      </c>
      <c r="C497" t="s">
        <v>9</v>
      </c>
      <c r="D497" t="s">
        <v>34</v>
      </c>
      <c r="E497">
        <v>126</v>
      </c>
      <c r="F497">
        <v>24</v>
      </c>
      <c r="G497">
        <v>800</v>
      </c>
      <c r="H497" t="s">
        <v>809</v>
      </c>
    </row>
    <row r="498" spans="1:8" x14ac:dyDescent="0.25">
      <c r="A498" t="s">
        <v>810</v>
      </c>
      <c r="B498" t="s">
        <v>49</v>
      </c>
      <c r="C498" t="s">
        <v>9</v>
      </c>
      <c r="D498" t="s">
        <v>34</v>
      </c>
      <c r="E498">
        <v>146</v>
      </c>
      <c r="F498">
        <v>65</v>
      </c>
      <c r="G498">
        <v>800</v>
      </c>
      <c r="H498" t="s">
        <v>516</v>
      </c>
    </row>
    <row r="499" spans="1:8" x14ac:dyDescent="0.25">
      <c r="A499" t="s">
        <v>811</v>
      </c>
      <c r="B499" t="s">
        <v>15</v>
      </c>
      <c r="C499" t="s">
        <v>9</v>
      </c>
      <c r="D499" t="s">
        <v>34</v>
      </c>
      <c r="E499">
        <v>45</v>
      </c>
      <c r="F499">
        <v>145</v>
      </c>
      <c r="G499">
        <v>2500</v>
      </c>
      <c r="H499" t="s">
        <v>216</v>
      </c>
    </row>
    <row r="500" spans="1:8" x14ac:dyDescent="0.25">
      <c r="A500" t="s">
        <v>812</v>
      </c>
      <c r="B500" t="s">
        <v>15</v>
      </c>
      <c r="C500" t="s">
        <v>9</v>
      </c>
      <c r="D500" t="s">
        <v>12</v>
      </c>
      <c r="E500">
        <v>77</v>
      </c>
      <c r="F500">
        <v>80</v>
      </c>
      <c r="G500">
        <v>500</v>
      </c>
      <c r="H500" t="s">
        <v>813</v>
      </c>
    </row>
    <row r="501" spans="1:8" x14ac:dyDescent="0.25">
      <c r="A501" t="s">
        <v>814</v>
      </c>
      <c r="B501" t="s">
        <v>96</v>
      </c>
      <c r="C501" t="s">
        <v>9</v>
      </c>
      <c r="D501" t="s">
        <v>18</v>
      </c>
      <c r="E501">
        <v>86</v>
      </c>
      <c r="F501">
        <v>39</v>
      </c>
      <c r="G501">
        <v>8000</v>
      </c>
      <c r="H501"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DBAD-04F3-4D89-9674-AC1D3E929790}">
  <dimension ref="A1:I501"/>
  <sheetViews>
    <sheetView workbookViewId="0">
      <selection activeCell="D10" sqref="D10"/>
    </sheetView>
  </sheetViews>
  <sheetFormatPr defaultRowHeight="15" x14ac:dyDescent="0.25"/>
  <cols>
    <col min="1" max="1" width="12.85546875" customWidth="1"/>
    <col min="2" max="3" width="16" customWidth="1"/>
    <col min="6" max="6" width="15.5703125" customWidth="1"/>
    <col min="7" max="7" width="16.5703125" customWidth="1"/>
    <col min="8" max="8" width="11.7109375" customWidth="1"/>
    <col min="9" max="9" width="11.5703125" bestFit="1" customWidth="1"/>
  </cols>
  <sheetData>
    <row r="1" spans="1:9" ht="30" x14ac:dyDescent="0.25">
      <c r="A1" s="1" t="s">
        <v>0</v>
      </c>
      <c r="B1" s="1" t="s">
        <v>1</v>
      </c>
      <c r="C1" s="1" t="s">
        <v>3</v>
      </c>
      <c r="D1" s="1" t="s">
        <v>4</v>
      </c>
      <c r="E1" s="1" t="s">
        <v>5</v>
      </c>
      <c r="F1" s="1" t="s">
        <v>6</v>
      </c>
      <c r="G1" s="1" t="s">
        <v>19</v>
      </c>
      <c r="H1" s="1" t="s">
        <v>20</v>
      </c>
      <c r="I1" s="2" t="s">
        <v>21</v>
      </c>
    </row>
    <row r="2" spans="1:9" x14ac:dyDescent="0.25">
      <c r="A2" t="str">
        <f>Raw_Inventory!A2</f>
        <v>P1001</v>
      </c>
      <c r="B2" t="str">
        <f>Raw_Inventory!B2</f>
        <v>Keyboard</v>
      </c>
      <c r="C2" t="str">
        <f>Raw_Inventory!D2</f>
        <v>Samsung</v>
      </c>
      <c r="D2">
        <f>Raw_Inventory!E2</f>
        <v>184</v>
      </c>
      <c r="E2">
        <f>Raw_Inventory!F2</f>
        <v>14</v>
      </c>
      <c r="F2">
        <f>Raw_Inventory!G2</f>
        <v>500</v>
      </c>
      <c r="G2">
        <f xml:space="preserve"> D2 - E2</f>
        <v>170</v>
      </c>
      <c r="H2">
        <f xml:space="preserve"> G2 * F2</f>
        <v>85000</v>
      </c>
      <c r="I2" t="str">
        <f>IF(G2&lt;10,"Low Stock","OK")</f>
        <v>OK</v>
      </c>
    </row>
    <row r="3" spans="1:9" x14ac:dyDescent="0.25">
      <c r="A3" t="str">
        <f>Raw_Inventory!A3</f>
        <v>P1002</v>
      </c>
      <c r="B3" t="str">
        <f>Raw_Inventory!B3</f>
        <v>Webcam</v>
      </c>
      <c r="C3" t="str">
        <f>Raw_Inventory!D3</f>
        <v>TP-Link</v>
      </c>
      <c r="D3">
        <f>Raw_Inventory!E3</f>
        <v>47</v>
      </c>
      <c r="E3">
        <f>Raw_Inventory!F3</f>
        <v>76</v>
      </c>
      <c r="F3">
        <f>Raw_Inventory!G3</f>
        <v>2500</v>
      </c>
      <c r="G3">
        <f t="shared" ref="G3:G66" si="0" xml:space="preserve"> D3 - E3</f>
        <v>-29</v>
      </c>
      <c r="H3">
        <f t="shared" ref="H3:H66" si="1" xml:space="preserve"> G3 * F3</f>
        <v>-72500</v>
      </c>
      <c r="I3" t="str">
        <f t="shared" ref="I3:I66" si="2">IF(G3&lt;10,"Low Stock","OK")</f>
        <v>Low Stock</v>
      </c>
    </row>
    <row r="4" spans="1:9" x14ac:dyDescent="0.25">
      <c r="A4" t="str">
        <f>Raw_Inventory!A4</f>
        <v>P1003</v>
      </c>
      <c r="B4" t="str">
        <f>Raw_Inventory!B4</f>
        <v>Printer</v>
      </c>
      <c r="C4" t="str">
        <f>Raw_Inventory!D4</f>
        <v>Dell</v>
      </c>
      <c r="D4">
        <f>Raw_Inventory!E4</f>
        <v>64</v>
      </c>
      <c r="E4">
        <f>Raw_Inventory!F4</f>
        <v>82</v>
      </c>
      <c r="F4">
        <f>Raw_Inventory!G4</f>
        <v>55000</v>
      </c>
      <c r="G4">
        <f t="shared" si="0"/>
        <v>-18</v>
      </c>
      <c r="H4">
        <f t="shared" si="1"/>
        <v>-990000</v>
      </c>
      <c r="I4" t="str">
        <f t="shared" si="2"/>
        <v>Low Stock</v>
      </c>
    </row>
    <row r="5" spans="1:9" x14ac:dyDescent="0.25">
      <c r="A5" t="str">
        <f>Raw_Inventory!A5</f>
        <v>P1004</v>
      </c>
      <c r="B5" t="str">
        <f>Raw_Inventory!B5</f>
        <v>Mouse</v>
      </c>
      <c r="C5" t="str">
        <f>Raw_Inventory!D5</f>
        <v>Acer</v>
      </c>
      <c r="D5">
        <f>Raw_Inventory!E5</f>
        <v>53</v>
      </c>
      <c r="E5">
        <f>Raw_Inventory!F5</f>
        <v>133</v>
      </c>
      <c r="F5">
        <f>Raw_Inventory!G5</f>
        <v>2500</v>
      </c>
      <c r="G5">
        <f t="shared" si="0"/>
        <v>-80</v>
      </c>
      <c r="H5">
        <f t="shared" si="1"/>
        <v>-200000</v>
      </c>
      <c r="I5" t="str">
        <f t="shared" si="2"/>
        <v>Low Stock</v>
      </c>
    </row>
    <row r="6" spans="1:9" x14ac:dyDescent="0.25">
      <c r="A6" t="str">
        <f>Raw_Inventory!A6</f>
        <v>P1005</v>
      </c>
      <c r="B6" t="str">
        <f>Raw_Inventory!B6</f>
        <v>Keyboard</v>
      </c>
      <c r="C6" t="str">
        <f>Raw_Inventory!D6</f>
        <v>Lenovo</v>
      </c>
      <c r="D6">
        <f>Raw_Inventory!E6</f>
        <v>197</v>
      </c>
      <c r="E6">
        <f>Raw_Inventory!F6</f>
        <v>22</v>
      </c>
      <c r="F6">
        <f>Raw_Inventory!G6</f>
        <v>5000</v>
      </c>
      <c r="G6">
        <f t="shared" si="0"/>
        <v>175</v>
      </c>
      <c r="H6">
        <f t="shared" si="1"/>
        <v>875000</v>
      </c>
      <c r="I6" t="str">
        <f t="shared" si="2"/>
        <v>OK</v>
      </c>
    </row>
    <row r="7" spans="1:9" x14ac:dyDescent="0.25">
      <c r="A7" t="str">
        <f>Raw_Inventory!A7</f>
        <v>P1006</v>
      </c>
      <c r="B7" t="str">
        <f>Raw_Inventory!B7</f>
        <v>Laptop</v>
      </c>
      <c r="C7" t="str">
        <f>Raw_Inventory!D7</f>
        <v>HP</v>
      </c>
      <c r="D7">
        <f>Raw_Inventory!E7</f>
        <v>86</v>
      </c>
      <c r="E7">
        <f>Raw_Inventory!F7</f>
        <v>81</v>
      </c>
      <c r="F7">
        <f>Raw_Inventory!G7</f>
        <v>30000</v>
      </c>
      <c r="G7">
        <f t="shared" si="0"/>
        <v>5</v>
      </c>
      <c r="H7">
        <f t="shared" si="1"/>
        <v>150000</v>
      </c>
      <c r="I7" t="str">
        <f t="shared" si="2"/>
        <v>Low Stock</v>
      </c>
    </row>
    <row r="8" spans="1:9" x14ac:dyDescent="0.25">
      <c r="A8" t="str">
        <f>Raw_Inventory!A8</f>
        <v>P1007</v>
      </c>
      <c r="B8" t="str">
        <f>Raw_Inventory!B8</f>
        <v>Router</v>
      </c>
      <c r="C8" t="str">
        <f>Raw_Inventory!D8</f>
        <v>Acer</v>
      </c>
      <c r="D8">
        <f>Raw_Inventory!E8</f>
        <v>102</v>
      </c>
      <c r="E8">
        <f>Raw_Inventory!F8</f>
        <v>69</v>
      </c>
      <c r="F8">
        <f>Raw_Inventory!G8</f>
        <v>30000</v>
      </c>
      <c r="G8">
        <f t="shared" si="0"/>
        <v>33</v>
      </c>
      <c r="H8">
        <f t="shared" si="1"/>
        <v>990000</v>
      </c>
      <c r="I8" t="str">
        <f t="shared" si="2"/>
        <v>OK</v>
      </c>
    </row>
    <row r="9" spans="1:9" x14ac:dyDescent="0.25">
      <c r="A9" t="str">
        <f>Raw_Inventory!A9</f>
        <v>P1008</v>
      </c>
      <c r="B9" t="str">
        <f>Raw_Inventory!B9</f>
        <v>Router</v>
      </c>
      <c r="C9" t="str">
        <f>Raw_Inventory!D9</f>
        <v>Canon</v>
      </c>
      <c r="D9">
        <f>Raw_Inventory!E9</f>
        <v>103</v>
      </c>
      <c r="E9">
        <f>Raw_Inventory!F9</f>
        <v>18</v>
      </c>
      <c r="F9">
        <f>Raw_Inventory!G9</f>
        <v>1500</v>
      </c>
      <c r="G9">
        <f t="shared" si="0"/>
        <v>85</v>
      </c>
      <c r="H9">
        <f t="shared" si="1"/>
        <v>127500</v>
      </c>
      <c r="I9" t="str">
        <f t="shared" si="2"/>
        <v>OK</v>
      </c>
    </row>
    <row r="10" spans="1:9" x14ac:dyDescent="0.25">
      <c r="A10" t="str">
        <f>Raw_Inventory!A10</f>
        <v>P1009</v>
      </c>
      <c r="B10" t="str">
        <f>Raw_Inventory!B10</f>
        <v>Monitor</v>
      </c>
      <c r="C10" t="str">
        <f>Raw_Inventory!D10</f>
        <v>Acer</v>
      </c>
      <c r="D10">
        <f>Raw_Inventory!E10</f>
        <v>98</v>
      </c>
      <c r="E10">
        <f>Raw_Inventory!F10</f>
        <v>149</v>
      </c>
      <c r="F10">
        <f>Raw_Inventory!G10</f>
        <v>30000</v>
      </c>
      <c r="G10">
        <f t="shared" si="0"/>
        <v>-51</v>
      </c>
      <c r="H10">
        <f t="shared" si="1"/>
        <v>-1530000</v>
      </c>
      <c r="I10" t="str">
        <f t="shared" si="2"/>
        <v>Low Stock</v>
      </c>
    </row>
    <row r="11" spans="1:9" x14ac:dyDescent="0.25">
      <c r="A11" t="str">
        <f>Raw_Inventory!A11</f>
        <v>P1010</v>
      </c>
      <c r="B11" t="str">
        <f>Raw_Inventory!B11</f>
        <v>Webcam</v>
      </c>
      <c r="C11" t="str">
        <f>Raw_Inventory!D11</f>
        <v>Seagate</v>
      </c>
      <c r="D11">
        <f>Raw_Inventory!E11</f>
        <v>131</v>
      </c>
      <c r="E11">
        <f>Raw_Inventory!F11</f>
        <v>5</v>
      </c>
      <c r="F11">
        <f>Raw_Inventory!G11</f>
        <v>2500</v>
      </c>
      <c r="G11">
        <f t="shared" si="0"/>
        <v>126</v>
      </c>
      <c r="H11">
        <f t="shared" si="1"/>
        <v>315000</v>
      </c>
      <c r="I11" t="str">
        <f t="shared" si="2"/>
        <v>OK</v>
      </c>
    </row>
    <row r="12" spans="1:9" x14ac:dyDescent="0.25">
      <c r="A12" t="str">
        <f>Raw_Inventory!A12</f>
        <v>P1011</v>
      </c>
      <c r="B12" t="str">
        <f>Raw_Inventory!B12</f>
        <v>Tablet</v>
      </c>
      <c r="C12" t="str">
        <f>Raw_Inventory!D12</f>
        <v>TP-Link</v>
      </c>
      <c r="D12">
        <f>Raw_Inventory!E12</f>
        <v>84</v>
      </c>
      <c r="E12">
        <f>Raw_Inventory!F12</f>
        <v>48</v>
      </c>
      <c r="F12">
        <f>Raw_Inventory!G12</f>
        <v>30000</v>
      </c>
      <c r="G12">
        <f t="shared" si="0"/>
        <v>36</v>
      </c>
      <c r="H12">
        <f t="shared" si="1"/>
        <v>1080000</v>
      </c>
      <c r="I12" t="str">
        <f t="shared" si="2"/>
        <v>OK</v>
      </c>
    </row>
    <row r="13" spans="1:9" x14ac:dyDescent="0.25">
      <c r="A13" t="str">
        <f>Raw_Inventory!A13</f>
        <v>P1012</v>
      </c>
      <c r="B13" t="str">
        <f>Raw_Inventory!B13</f>
        <v>Headphones</v>
      </c>
      <c r="C13" t="str">
        <f>Raw_Inventory!D13</f>
        <v>Logitech</v>
      </c>
      <c r="D13">
        <f>Raw_Inventory!E13</f>
        <v>97</v>
      </c>
      <c r="E13">
        <f>Raw_Inventory!F13</f>
        <v>10</v>
      </c>
      <c r="F13">
        <f>Raw_Inventory!G13</f>
        <v>2500</v>
      </c>
      <c r="G13">
        <f t="shared" si="0"/>
        <v>87</v>
      </c>
      <c r="H13">
        <f t="shared" si="1"/>
        <v>217500</v>
      </c>
      <c r="I13" t="str">
        <f t="shared" si="2"/>
        <v>OK</v>
      </c>
    </row>
    <row r="14" spans="1:9" x14ac:dyDescent="0.25">
      <c r="A14" t="str">
        <f>Raw_Inventory!A14</f>
        <v>P1013</v>
      </c>
      <c r="B14" t="str">
        <f>Raw_Inventory!B14</f>
        <v>Monitor</v>
      </c>
      <c r="C14" t="str">
        <f>Raw_Inventory!D14</f>
        <v>Logitech</v>
      </c>
      <c r="D14">
        <f>Raw_Inventory!E14</f>
        <v>160</v>
      </c>
      <c r="E14">
        <f>Raw_Inventory!F14</f>
        <v>15</v>
      </c>
      <c r="F14">
        <f>Raw_Inventory!G14</f>
        <v>1500</v>
      </c>
      <c r="G14">
        <f t="shared" si="0"/>
        <v>145</v>
      </c>
      <c r="H14">
        <f t="shared" si="1"/>
        <v>217500</v>
      </c>
      <c r="I14" t="str">
        <f t="shared" si="2"/>
        <v>OK</v>
      </c>
    </row>
    <row r="15" spans="1:9" x14ac:dyDescent="0.25">
      <c r="A15" t="str">
        <f>Raw_Inventory!A15</f>
        <v>P1014</v>
      </c>
      <c r="B15" t="str">
        <f>Raw_Inventory!B15</f>
        <v>Webcam</v>
      </c>
      <c r="C15" t="str">
        <f>Raw_Inventory!D15</f>
        <v>TP-Link</v>
      </c>
      <c r="D15">
        <f>Raw_Inventory!E15</f>
        <v>127</v>
      </c>
      <c r="E15">
        <f>Raw_Inventory!F15</f>
        <v>85</v>
      </c>
      <c r="F15">
        <f>Raw_Inventory!G15</f>
        <v>1200</v>
      </c>
      <c r="G15">
        <f t="shared" si="0"/>
        <v>42</v>
      </c>
      <c r="H15">
        <f t="shared" si="1"/>
        <v>50400</v>
      </c>
      <c r="I15" t="str">
        <f t="shared" si="2"/>
        <v>OK</v>
      </c>
    </row>
    <row r="16" spans="1:9" x14ac:dyDescent="0.25">
      <c r="A16" t="str">
        <f>Raw_Inventory!A16</f>
        <v>P1015</v>
      </c>
      <c r="B16" t="str">
        <f>Raw_Inventory!B16</f>
        <v>Tablet</v>
      </c>
      <c r="C16" t="str">
        <f>Raw_Inventory!D16</f>
        <v>TP-Link</v>
      </c>
      <c r="D16">
        <f>Raw_Inventory!E16</f>
        <v>112</v>
      </c>
      <c r="E16">
        <f>Raw_Inventory!F16</f>
        <v>90</v>
      </c>
      <c r="F16">
        <f>Raw_Inventory!G16</f>
        <v>5000</v>
      </c>
      <c r="G16">
        <f t="shared" si="0"/>
        <v>22</v>
      </c>
      <c r="H16">
        <f t="shared" si="1"/>
        <v>110000</v>
      </c>
      <c r="I16" t="str">
        <f t="shared" si="2"/>
        <v>OK</v>
      </c>
    </row>
    <row r="17" spans="1:9" x14ac:dyDescent="0.25">
      <c r="A17" t="str">
        <f>Raw_Inventory!A17</f>
        <v>P1016</v>
      </c>
      <c r="B17" t="str">
        <f>Raw_Inventory!B17</f>
        <v>Keyboard</v>
      </c>
      <c r="C17" t="str">
        <f>Raw_Inventory!D17</f>
        <v>Logitech</v>
      </c>
      <c r="D17">
        <f>Raw_Inventory!E17</f>
        <v>31</v>
      </c>
      <c r="E17">
        <f>Raw_Inventory!F17</f>
        <v>58</v>
      </c>
      <c r="F17">
        <f>Raw_Inventory!G17</f>
        <v>2500</v>
      </c>
      <c r="G17">
        <f t="shared" si="0"/>
        <v>-27</v>
      </c>
      <c r="H17">
        <f t="shared" si="1"/>
        <v>-67500</v>
      </c>
      <c r="I17" t="str">
        <f t="shared" si="2"/>
        <v>Low Stock</v>
      </c>
    </row>
    <row r="18" spans="1:9" x14ac:dyDescent="0.25">
      <c r="A18" t="str">
        <f>Raw_Inventory!A18</f>
        <v>P1017</v>
      </c>
      <c r="B18" t="str">
        <f>Raw_Inventory!B18</f>
        <v>Tablet</v>
      </c>
      <c r="C18" t="str">
        <f>Raw_Inventory!D18</f>
        <v>Lenovo</v>
      </c>
      <c r="D18">
        <f>Raw_Inventory!E18</f>
        <v>162</v>
      </c>
      <c r="E18">
        <f>Raw_Inventory!F18</f>
        <v>105</v>
      </c>
      <c r="F18">
        <f>Raw_Inventory!G18</f>
        <v>500</v>
      </c>
      <c r="G18">
        <f t="shared" si="0"/>
        <v>57</v>
      </c>
      <c r="H18">
        <f t="shared" si="1"/>
        <v>28500</v>
      </c>
      <c r="I18" t="str">
        <f t="shared" si="2"/>
        <v>OK</v>
      </c>
    </row>
    <row r="19" spans="1:9" x14ac:dyDescent="0.25">
      <c r="A19" t="str">
        <f>Raw_Inventory!A19</f>
        <v>P1018</v>
      </c>
      <c r="B19" t="str">
        <f>Raw_Inventory!B19</f>
        <v>Mouse</v>
      </c>
      <c r="C19" t="str">
        <f>Raw_Inventory!D19</f>
        <v>Lenovo</v>
      </c>
      <c r="D19">
        <f>Raw_Inventory!E19</f>
        <v>28</v>
      </c>
      <c r="E19">
        <f>Raw_Inventory!F19</f>
        <v>29</v>
      </c>
      <c r="F19">
        <f>Raw_Inventory!G19</f>
        <v>800</v>
      </c>
      <c r="G19">
        <f t="shared" si="0"/>
        <v>-1</v>
      </c>
      <c r="H19">
        <f t="shared" si="1"/>
        <v>-800</v>
      </c>
      <c r="I19" t="str">
        <f t="shared" si="2"/>
        <v>Low Stock</v>
      </c>
    </row>
    <row r="20" spans="1:9" x14ac:dyDescent="0.25">
      <c r="A20" t="str">
        <f>Raw_Inventory!A20</f>
        <v>P1019</v>
      </c>
      <c r="B20" t="str">
        <f>Raw_Inventory!B20</f>
        <v>Laptop</v>
      </c>
      <c r="C20" t="str">
        <f>Raw_Inventory!D20</f>
        <v>Acer</v>
      </c>
      <c r="D20">
        <f>Raw_Inventory!E20</f>
        <v>168</v>
      </c>
      <c r="E20">
        <f>Raw_Inventory!F20</f>
        <v>77</v>
      </c>
      <c r="F20">
        <f>Raw_Inventory!G20</f>
        <v>2500</v>
      </c>
      <c r="G20">
        <f t="shared" si="0"/>
        <v>91</v>
      </c>
      <c r="H20">
        <f t="shared" si="1"/>
        <v>227500</v>
      </c>
      <c r="I20" t="str">
        <f t="shared" si="2"/>
        <v>OK</v>
      </c>
    </row>
    <row r="21" spans="1:9" x14ac:dyDescent="0.25">
      <c r="A21" t="str">
        <f>Raw_Inventory!A21</f>
        <v>P1020</v>
      </c>
      <c r="B21" t="str">
        <f>Raw_Inventory!B21</f>
        <v>Router</v>
      </c>
      <c r="C21" t="str">
        <f>Raw_Inventory!D21</f>
        <v>TP-Link</v>
      </c>
      <c r="D21">
        <f>Raw_Inventory!E21</f>
        <v>185</v>
      </c>
      <c r="E21">
        <f>Raw_Inventory!F21</f>
        <v>117</v>
      </c>
      <c r="F21">
        <f>Raw_Inventory!G21</f>
        <v>800</v>
      </c>
      <c r="G21">
        <f t="shared" si="0"/>
        <v>68</v>
      </c>
      <c r="H21">
        <f t="shared" si="1"/>
        <v>54400</v>
      </c>
      <c r="I21" t="str">
        <f t="shared" si="2"/>
        <v>OK</v>
      </c>
    </row>
    <row r="22" spans="1:9" x14ac:dyDescent="0.25">
      <c r="A22" t="str">
        <f>Raw_Inventory!A22</f>
        <v>P1021</v>
      </c>
      <c r="B22" t="str">
        <f>Raw_Inventory!B22</f>
        <v>Printer</v>
      </c>
      <c r="C22" t="str">
        <f>Raw_Inventory!D22</f>
        <v>HP</v>
      </c>
      <c r="D22">
        <f>Raw_Inventory!E22</f>
        <v>138</v>
      </c>
      <c r="E22">
        <f>Raw_Inventory!F22</f>
        <v>83</v>
      </c>
      <c r="F22">
        <f>Raw_Inventory!G22</f>
        <v>500</v>
      </c>
      <c r="G22">
        <f t="shared" si="0"/>
        <v>55</v>
      </c>
      <c r="H22">
        <f t="shared" si="1"/>
        <v>27500</v>
      </c>
      <c r="I22" t="str">
        <f t="shared" si="2"/>
        <v>OK</v>
      </c>
    </row>
    <row r="23" spans="1:9" x14ac:dyDescent="0.25">
      <c r="A23" t="str">
        <f>Raw_Inventory!A23</f>
        <v>P1022</v>
      </c>
      <c r="B23" t="str">
        <f>Raw_Inventory!B23</f>
        <v>Tablet</v>
      </c>
      <c r="C23" t="str">
        <f>Raw_Inventory!D23</f>
        <v>Seagate</v>
      </c>
      <c r="D23">
        <f>Raw_Inventory!E23</f>
        <v>44</v>
      </c>
      <c r="E23">
        <f>Raw_Inventory!F23</f>
        <v>84</v>
      </c>
      <c r="F23">
        <f>Raw_Inventory!G23</f>
        <v>5000</v>
      </c>
      <c r="G23">
        <f t="shared" si="0"/>
        <v>-40</v>
      </c>
      <c r="H23">
        <f t="shared" si="1"/>
        <v>-200000</v>
      </c>
      <c r="I23" t="str">
        <f t="shared" si="2"/>
        <v>Low Stock</v>
      </c>
    </row>
    <row r="24" spans="1:9" x14ac:dyDescent="0.25">
      <c r="A24" t="str">
        <f>Raw_Inventory!A24</f>
        <v>P1023</v>
      </c>
      <c r="B24" t="str">
        <f>Raw_Inventory!B24</f>
        <v>Printer</v>
      </c>
      <c r="C24" t="str">
        <f>Raw_Inventory!D24</f>
        <v>Asus</v>
      </c>
      <c r="D24">
        <f>Raw_Inventory!E24</f>
        <v>122</v>
      </c>
      <c r="E24">
        <f>Raw_Inventory!F24</f>
        <v>83</v>
      </c>
      <c r="F24">
        <f>Raw_Inventory!G24</f>
        <v>30000</v>
      </c>
      <c r="G24">
        <f t="shared" si="0"/>
        <v>39</v>
      </c>
      <c r="H24">
        <f t="shared" si="1"/>
        <v>1170000</v>
      </c>
      <c r="I24" t="str">
        <f t="shared" si="2"/>
        <v>OK</v>
      </c>
    </row>
    <row r="25" spans="1:9" x14ac:dyDescent="0.25">
      <c r="A25" t="str">
        <f>Raw_Inventory!A25</f>
        <v>P1024</v>
      </c>
      <c r="B25" t="str">
        <f>Raw_Inventory!B25</f>
        <v>Mouse</v>
      </c>
      <c r="C25" t="str">
        <f>Raw_Inventory!D25</f>
        <v>Logitech</v>
      </c>
      <c r="D25">
        <f>Raw_Inventory!E25</f>
        <v>25</v>
      </c>
      <c r="E25">
        <f>Raw_Inventory!F25</f>
        <v>89</v>
      </c>
      <c r="F25">
        <f>Raw_Inventory!G25</f>
        <v>1200</v>
      </c>
      <c r="G25">
        <f t="shared" si="0"/>
        <v>-64</v>
      </c>
      <c r="H25">
        <f t="shared" si="1"/>
        <v>-76800</v>
      </c>
      <c r="I25" t="str">
        <f t="shared" si="2"/>
        <v>Low Stock</v>
      </c>
    </row>
    <row r="26" spans="1:9" x14ac:dyDescent="0.25">
      <c r="A26" t="str">
        <f>Raw_Inventory!A26</f>
        <v>P1025</v>
      </c>
      <c r="B26" t="str">
        <f>Raw_Inventory!B26</f>
        <v>Printer</v>
      </c>
      <c r="C26" t="str">
        <f>Raw_Inventory!D26</f>
        <v>Lenovo</v>
      </c>
      <c r="D26">
        <f>Raw_Inventory!E26</f>
        <v>32</v>
      </c>
      <c r="E26">
        <f>Raw_Inventory!F26</f>
        <v>70</v>
      </c>
      <c r="F26">
        <f>Raw_Inventory!G26</f>
        <v>55000</v>
      </c>
      <c r="G26">
        <f t="shared" si="0"/>
        <v>-38</v>
      </c>
      <c r="H26">
        <f t="shared" si="1"/>
        <v>-2090000</v>
      </c>
      <c r="I26" t="str">
        <f t="shared" si="2"/>
        <v>Low Stock</v>
      </c>
    </row>
    <row r="27" spans="1:9" x14ac:dyDescent="0.25">
      <c r="A27" t="str">
        <f>Raw_Inventory!A27</f>
        <v>P1026</v>
      </c>
      <c r="B27" t="str">
        <f>Raw_Inventory!B27</f>
        <v>Headphones</v>
      </c>
      <c r="C27" t="str">
        <f>Raw_Inventory!D27</f>
        <v>Lenovo</v>
      </c>
      <c r="D27">
        <f>Raw_Inventory!E27</f>
        <v>173</v>
      </c>
      <c r="E27">
        <f>Raw_Inventory!F27</f>
        <v>33</v>
      </c>
      <c r="F27">
        <f>Raw_Inventory!G27</f>
        <v>5000</v>
      </c>
      <c r="G27">
        <f t="shared" si="0"/>
        <v>140</v>
      </c>
      <c r="H27">
        <f t="shared" si="1"/>
        <v>700000</v>
      </c>
      <c r="I27" t="str">
        <f t="shared" si="2"/>
        <v>OK</v>
      </c>
    </row>
    <row r="28" spans="1:9" x14ac:dyDescent="0.25">
      <c r="A28" t="str">
        <f>Raw_Inventory!A28</f>
        <v>P1027</v>
      </c>
      <c r="B28" t="str">
        <f>Raw_Inventory!B28</f>
        <v>Headphones</v>
      </c>
      <c r="C28" t="str">
        <f>Raw_Inventory!D28</f>
        <v>Seagate</v>
      </c>
      <c r="D28">
        <f>Raw_Inventory!E28</f>
        <v>170</v>
      </c>
      <c r="E28">
        <f>Raw_Inventory!F28</f>
        <v>110</v>
      </c>
      <c r="F28">
        <f>Raw_Inventory!G28</f>
        <v>1500</v>
      </c>
      <c r="G28">
        <f t="shared" si="0"/>
        <v>60</v>
      </c>
      <c r="H28">
        <f t="shared" si="1"/>
        <v>90000</v>
      </c>
      <c r="I28" t="str">
        <f t="shared" si="2"/>
        <v>OK</v>
      </c>
    </row>
    <row r="29" spans="1:9" x14ac:dyDescent="0.25">
      <c r="A29" t="str">
        <f>Raw_Inventory!A29</f>
        <v>P1028</v>
      </c>
      <c r="B29" t="str">
        <f>Raw_Inventory!B29</f>
        <v>Router</v>
      </c>
      <c r="C29" t="str">
        <f>Raw_Inventory!D29</f>
        <v>TP-Link</v>
      </c>
      <c r="D29">
        <f>Raw_Inventory!E29</f>
        <v>72</v>
      </c>
      <c r="E29">
        <f>Raw_Inventory!F29</f>
        <v>34</v>
      </c>
      <c r="F29">
        <f>Raw_Inventory!G29</f>
        <v>800</v>
      </c>
      <c r="G29">
        <f t="shared" si="0"/>
        <v>38</v>
      </c>
      <c r="H29">
        <f t="shared" si="1"/>
        <v>30400</v>
      </c>
      <c r="I29" t="str">
        <f t="shared" si="2"/>
        <v>OK</v>
      </c>
    </row>
    <row r="30" spans="1:9" x14ac:dyDescent="0.25">
      <c r="A30" t="str">
        <f>Raw_Inventory!A30</f>
        <v>P1029</v>
      </c>
      <c r="B30" t="str">
        <f>Raw_Inventory!B30</f>
        <v>Mouse</v>
      </c>
      <c r="C30" t="str">
        <f>Raw_Inventory!D30</f>
        <v>Acer</v>
      </c>
      <c r="D30">
        <f>Raw_Inventory!E30</f>
        <v>108</v>
      </c>
      <c r="E30">
        <f>Raw_Inventory!F30</f>
        <v>107</v>
      </c>
      <c r="F30">
        <f>Raw_Inventory!G30</f>
        <v>800</v>
      </c>
      <c r="G30">
        <f t="shared" si="0"/>
        <v>1</v>
      </c>
      <c r="H30">
        <f t="shared" si="1"/>
        <v>800</v>
      </c>
      <c r="I30" t="str">
        <f t="shared" si="2"/>
        <v>Low Stock</v>
      </c>
    </row>
    <row r="31" spans="1:9" x14ac:dyDescent="0.25">
      <c r="A31" t="str">
        <f>Raw_Inventory!A31</f>
        <v>P1030</v>
      </c>
      <c r="B31" t="str">
        <f>Raw_Inventory!B31</f>
        <v>Printer</v>
      </c>
      <c r="C31" t="str">
        <f>Raw_Inventory!D31</f>
        <v>Samsung</v>
      </c>
      <c r="D31">
        <f>Raw_Inventory!E31</f>
        <v>137</v>
      </c>
      <c r="E31">
        <f>Raw_Inventory!F31</f>
        <v>109</v>
      </c>
      <c r="F31">
        <f>Raw_Inventory!G31</f>
        <v>30000</v>
      </c>
      <c r="G31">
        <f t="shared" si="0"/>
        <v>28</v>
      </c>
      <c r="H31">
        <f t="shared" si="1"/>
        <v>840000</v>
      </c>
      <c r="I31" t="str">
        <f t="shared" si="2"/>
        <v>OK</v>
      </c>
    </row>
    <row r="32" spans="1:9" x14ac:dyDescent="0.25">
      <c r="A32" t="str">
        <f>Raw_Inventory!A32</f>
        <v>P1031</v>
      </c>
      <c r="B32" t="str">
        <f>Raw_Inventory!B32</f>
        <v>Mouse</v>
      </c>
      <c r="C32" t="str">
        <f>Raw_Inventory!D32</f>
        <v>Samsung</v>
      </c>
      <c r="D32">
        <f>Raw_Inventory!E32</f>
        <v>149</v>
      </c>
      <c r="E32">
        <f>Raw_Inventory!F32</f>
        <v>104</v>
      </c>
      <c r="F32">
        <f>Raw_Inventory!G32</f>
        <v>1200</v>
      </c>
      <c r="G32">
        <f t="shared" si="0"/>
        <v>45</v>
      </c>
      <c r="H32">
        <f t="shared" si="1"/>
        <v>54000</v>
      </c>
      <c r="I32" t="str">
        <f t="shared" si="2"/>
        <v>OK</v>
      </c>
    </row>
    <row r="33" spans="1:9" x14ac:dyDescent="0.25">
      <c r="A33" t="str">
        <f>Raw_Inventory!A33</f>
        <v>P1032</v>
      </c>
      <c r="B33" t="str">
        <f>Raw_Inventory!B33</f>
        <v>Laptop</v>
      </c>
      <c r="C33" t="str">
        <f>Raw_Inventory!D33</f>
        <v>Asus</v>
      </c>
      <c r="D33">
        <f>Raw_Inventory!E33</f>
        <v>34</v>
      </c>
      <c r="E33">
        <f>Raw_Inventory!F33</f>
        <v>129</v>
      </c>
      <c r="F33">
        <f>Raw_Inventory!G33</f>
        <v>2500</v>
      </c>
      <c r="G33">
        <f t="shared" si="0"/>
        <v>-95</v>
      </c>
      <c r="H33">
        <f t="shared" si="1"/>
        <v>-237500</v>
      </c>
      <c r="I33" t="str">
        <f t="shared" si="2"/>
        <v>Low Stock</v>
      </c>
    </row>
    <row r="34" spans="1:9" x14ac:dyDescent="0.25">
      <c r="A34" t="str">
        <f>Raw_Inventory!A34</f>
        <v>P1033</v>
      </c>
      <c r="B34" t="str">
        <f>Raw_Inventory!B34</f>
        <v>Mouse</v>
      </c>
      <c r="C34" t="str">
        <f>Raw_Inventory!D34</f>
        <v>Canon</v>
      </c>
      <c r="D34">
        <f>Raw_Inventory!E34</f>
        <v>138</v>
      </c>
      <c r="E34">
        <f>Raw_Inventory!F34</f>
        <v>48</v>
      </c>
      <c r="F34">
        <f>Raw_Inventory!G34</f>
        <v>800</v>
      </c>
      <c r="G34">
        <f t="shared" si="0"/>
        <v>90</v>
      </c>
      <c r="H34">
        <f t="shared" si="1"/>
        <v>72000</v>
      </c>
      <c r="I34" t="str">
        <f t="shared" si="2"/>
        <v>OK</v>
      </c>
    </row>
    <row r="35" spans="1:9" x14ac:dyDescent="0.25">
      <c r="A35" t="str">
        <f>Raw_Inventory!A35</f>
        <v>P1034</v>
      </c>
      <c r="B35" t="str">
        <f>Raw_Inventory!B35</f>
        <v>SSD</v>
      </c>
      <c r="C35" t="str">
        <f>Raw_Inventory!D35</f>
        <v>Canon</v>
      </c>
      <c r="D35">
        <f>Raw_Inventory!E35</f>
        <v>39</v>
      </c>
      <c r="E35">
        <f>Raw_Inventory!F35</f>
        <v>31</v>
      </c>
      <c r="F35">
        <f>Raw_Inventory!G35</f>
        <v>500</v>
      </c>
      <c r="G35">
        <f t="shared" si="0"/>
        <v>8</v>
      </c>
      <c r="H35">
        <f t="shared" si="1"/>
        <v>4000</v>
      </c>
      <c r="I35" t="str">
        <f t="shared" si="2"/>
        <v>Low Stock</v>
      </c>
    </row>
    <row r="36" spans="1:9" x14ac:dyDescent="0.25">
      <c r="A36" t="str">
        <f>Raw_Inventory!A36</f>
        <v>P1035</v>
      </c>
      <c r="B36" t="str">
        <f>Raw_Inventory!B36</f>
        <v>SSD</v>
      </c>
      <c r="C36" t="str">
        <f>Raw_Inventory!D36</f>
        <v>Lenovo</v>
      </c>
      <c r="D36">
        <f>Raw_Inventory!E36</f>
        <v>35</v>
      </c>
      <c r="E36">
        <f>Raw_Inventory!F36</f>
        <v>142</v>
      </c>
      <c r="F36">
        <f>Raw_Inventory!G36</f>
        <v>2500</v>
      </c>
      <c r="G36">
        <f t="shared" si="0"/>
        <v>-107</v>
      </c>
      <c r="H36">
        <f t="shared" si="1"/>
        <v>-267500</v>
      </c>
      <c r="I36" t="str">
        <f t="shared" si="2"/>
        <v>Low Stock</v>
      </c>
    </row>
    <row r="37" spans="1:9" x14ac:dyDescent="0.25">
      <c r="A37" t="str">
        <f>Raw_Inventory!A37</f>
        <v>P1036</v>
      </c>
      <c r="B37" t="str">
        <f>Raw_Inventory!B37</f>
        <v>Printer</v>
      </c>
      <c r="C37" t="str">
        <f>Raw_Inventory!D37</f>
        <v>Samsung</v>
      </c>
      <c r="D37">
        <f>Raw_Inventory!E37</f>
        <v>85</v>
      </c>
      <c r="E37">
        <f>Raw_Inventory!F37</f>
        <v>118</v>
      </c>
      <c r="F37">
        <f>Raw_Inventory!G37</f>
        <v>1500</v>
      </c>
      <c r="G37">
        <f t="shared" si="0"/>
        <v>-33</v>
      </c>
      <c r="H37">
        <f t="shared" si="1"/>
        <v>-49500</v>
      </c>
      <c r="I37" t="str">
        <f t="shared" si="2"/>
        <v>Low Stock</v>
      </c>
    </row>
    <row r="38" spans="1:9" x14ac:dyDescent="0.25">
      <c r="A38" t="str">
        <f>Raw_Inventory!A38</f>
        <v>P1037</v>
      </c>
      <c r="B38" t="str">
        <f>Raw_Inventory!B38</f>
        <v>Tablet</v>
      </c>
      <c r="C38" t="str">
        <f>Raw_Inventory!D38</f>
        <v>Lenovo</v>
      </c>
      <c r="D38">
        <f>Raw_Inventory!E38</f>
        <v>69</v>
      </c>
      <c r="E38">
        <f>Raw_Inventory!F38</f>
        <v>124</v>
      </c>
      <c r="F38">
        <f>Raw_Inventory!G38</f>
        <v>12000</v>
      </c>
      <c r="G38">
        <f t="shared" si="0"/>
        <v>-55</v>
      </c>
      <c r="H38">
        <f t="shared" si="1"/>
        <v>-660000</v>
      </c>
      <c r="I38" t="str">
        <f t="shared" si="2"/>
        <v>Low Stock</v>
      </c>
    </row>
    <row r="39" spans="1:9" x14ac:dyDescent="0.25">
      <c r="A39" t="str">
        <f>Raw_Inventory!A39</f>
        <v>P1038</v>
      </c>
      <c r="B39" t="str">
        <f>Raw_Inventory!B39</f>
        <v>Tablet</v>
      </c>
      <c r="C39" t="str">
        <f>Raw_Inventory!D39</f>
        <v>HP</v>
      </c>
      <c r="D39">
        <f>Raw_Inventory!E39</f>
        <v>154</v>
      </c>
      <c r="E39">
        <f>Raw_Inventory!F39</f>
        <v>59</v>
      </c>
      <c r="F39">
        <f>Raw_Inventory!G39</f>
        <v>2500</v>
      </c>
      <c r="G39">
        <f t="shared" si="0"/>
        <v>95</v>
      </c>
      <c r="H39">
        <f t="shared" si="1"/>
        <v>237500</v>
      </c>
      <c r="I39" t="str">
        <f t="shared" si="2"/>
        <v>OK</v>
      </c>
    </row>
    <row r="40" spans="1:9" x14ac:dyDescent="0.25">
      <c r="A40" t="str">
        <f>Raw_Inventory!A40</f>
        <v>P1039</v>
      </c>
      <c r="B40" t="str">
        <f>Raw_Inventory!B40</f>
        <v>Monitor</v>
      </c>
      <c r="C40" t="str">
        <f>Raw_Inventory!D40</f>
        <v>Asus</v>
      </c>
      <c r="D40">
        <f>Raw_Inventory!E40</f>
        <v>118</v>
      </c>
      <c r="E40">
        <f>Raw_Inventory!F40</f>
        <v>118</v>
      </c>
      <c r="F40">
        <f>Raw_Inventory!G40</f>
        <v>500</v>
      </c>
      <c r="G40">
        <f t="shared" si="0"/>
        <v>0</v>
      </c>
      <c r="H40">
        <f t="shared" si="1"/>
        <v>0</v>
      </c>
      <c r="I40" t="str">
        <f t="shared" si="2"/>
        <v>Low Stock</v>
      </c>
    </row>
    <row r="41" spans="1:9" x14ac:dyDescent="0.25">
      <c r="A41" t="str">
        <f>Raw_Inventory!A41</f>
        <v>P1040</v>
      </c>
      <c r="B41" t="str">
        <f>Raw_Inventory!B41</f>
        <v>Router</v>
      </c>
      <c r="C41" t="str">
        <f>Raw_Inventory!D41</f>
        <v>Asus</v>
      </c>
      <c r="D41">
        <f>Raw_Inventory!E41</f>
        <v>173</v>
      </c>
      <c r="E41">
        <f>Raw_Inventory!F41</f>
        <v>142</v>
      </c>
      <c r="F41">
        <f>Raw_Inventory!G41</f>
        <v>2500</v>
      </c>
      <c r="G41">
        <f t="shared" si="0"/>
        <v>31</v>
      </c>
      <c r="H41">
        <f t="shared" si="1"/>
        <v>77500</v>
      </c>
      <c r="I41" t="str">
        <f t="shared" si="2"/>
        <v>OK</v>
      </c>
    </row>
    <row r="42" spans="1:9" x14ac:dyDescent="0.25">
      <c r="A42" t="str">
        <f>Raw_Inventory!A42</f>
        <v>P1041</v>
      </c>
      <c r="B42" t="str">
        <f>Raw_Inventory!B42</f>
        <v>Router</v>
      </c>
      <c r="C42" t="str">
        <f>Raw_Inventory!D42</f>
        <v>Lenovo</v>
      </c>
      <c r="D42">
        <f>Raw_Inventory!E42</f>
        <v>171</v>
      </c>
      <c r="E42">
        <f>Raw_Inventory!F42</f>
        <v>5</v>
      </c>
      <c r="F42">
        <f>Raw_Inventory!G42</f>
        <v>1200</v>
      </c>
      <c r="G42">
        <f t="shared" si="0"/>
        <v>166</v>
      </c>
      <c r="H42">
        <f t="shared" si="1"/>
        <v>199200</v>
      </c>
      <c r="I42" t="str">
        <f t="shared" si="2"/>
        <v>OK</v>
      </c>
    </row>
    <row r="43" spans="1:9" x14ac:dyDescent="0.25">
      <c r="A43" t="str">
        <f>Raw_Inventory!A43</f>
        <v>P1042</v>
      </c>
      <c r="B43" t="str">
        <f>Raw_Inventory!B43</f>
        <v>Webcam</v>
      </c>
      <c r="C43" t="str">
        <f>Raw_Inventory!D43</f>
        <v>TP-Link</v>
      </c>
      <c r="D43">
        <f>Raw_Inventory!E43</f>
        <v>168</v>
      </c>
      <c r="E43">
        <f>Raw_Inventory!F43</f>
        <v>29</v>
      </c>
      <c r="F43">
        <f>Raw_Inventory!G43</f>
        <v>30000</v>
      </c>
      <c r="G43">
        <f t="shared" si="0"/>
        <v>139</v>
      </c>
      <c r="H43">
        <f t="shared" si="1"/>
        <v>4170000</v>
      </c>
      <c r="I43" t="str">
        <f t="shared" si="2"/>
        <v>OK</v>
      </c>
    </row>
    <row r="44" spans="1:9" x14ac:dyDescent="0.25">
      <c r="A44" t="str">
        <f>Raw_Inventory!A44</f>
        <v>P1043</v>
      </c>
      <c r="B44" t="str">
        <f>Raw_Inventory!B44</f>
        <v>Laptop</v>
      </c>
      <c r="C44" t="str">
        <f>Raw_Inventory!D44</f>
        <v>Seagate</v>
      </c>
      <c r="D44">
        <f>Raw_Inventory!E44</f>
        <v>57</v>
      </c>
      <c r="E44">
        <f>Raw_Inventory!F44</f>
        <v>146</v>
      </c>
      <c r="F44">
        <f>Raw_Inventory!G44</f>
        <v>500</v>
      </c>
      <c r="G44">
        <f t="shared" si="0"/>
        <v>-89</v>
      </c>
      <c r="H44">
        <f t="shared" si="1"/>
        <v>-44500</v>
      </c>
      <c r="I44" t="str">
        <f t="shared" si="2"/>
        <v>Low Stock</v>
      </c>
    </row>
    <row r="45" spans="1:9" x14ac:dyDescent="0.25">
      <c r="A45" t="str">
        <f>Raw_Inventory!A45</f>
        <v>P1044</v>
      </c>
      <c r="B45" t="str">
        <f>Raw_Inventory!B45</f>
        <v>Laptop</v>
      </c>
      <c r="C45" t="str">
        <f>Raw_Inventory!D45</f>
        <v>Samsung</v>
      </c>
      <c r="D45">
        <f>Raw_Inventory!E45</f>
        <v>195</v>
      </c>
      <c r="E45">
        <f>Raw_Inventory!F45</f>
        <v>21</v>
      </c>
      <c r="F45">
        <f>Raw_Inventory!G45</f>
        <v>500</v>
      </c>
      <c r="G45">
        <f t="shared" si="0"/>
        <v>174</v>
      </c>
      <c r="H45">
        <f t="shared" si="1"/>
        <v>87000</v>
      </c>
      <c r="I45" t="str">
        <f t="shared" si="2"/>
        <v>OK</v>
      </c>
    </row>
    <row r="46" spans="1:9" x14ac:dyDescent="0.25">
      <c r="A46" t="str">
        <f>Raw_Inventory!A46</f>
        <v>P1045</v>
      </c>
      <c r="B46" t="str">
        <f>Raw_Inventory!B46</f>
        <v>Tablet</v>
      </c>
      <c r="C46" t="str">
        <f>Raw_Inventory!D46</f>
        <v>Logitech</v>
      </c>
      <c r="D46">
        <f>Raw_Inventory!E46</f>
        <v>42</v>
      </c>
      <c r="E46">
        <f>Raw_Inventory!F46</f>
        <v>139</v>
      </c>
      <c r="F46">
        <f>Raw_Inventory!G46</f>
        <v>8000</v>
      </c>
      <c r="G46">
        <f t="shared" si="0"/>
        <v>-97</v>
      </c>
      <c r="H46">
        <f t="shared" si="1"/>
        <v>-776000</v>
      </c>
      <c r="I46" t="str">
        <f t="shared" si="2"/>
        <v>Low Stock</v>
      </c>
    </row>
    <row r="47" spans="1:9" x14ac:dyDescent="0.25">
      <c r="A47" t="str">
        <f>Raw_Inventory!A47</f>
        <v>P1046</v>
      </c>
      <c r="B47" t="str">
        <f>Raw_Inventory!B47</f>
        <v>Monitor</v>
      </c>
      <c r="C47" t="str">
        <f>Raw_Inventory!D47</f>
        <v>Seagate</v>
      </c>
      <c r="D47">
        <f>Raw_Inventory!E47</f>
        <v>85</v>
      </c>
      <c r="E47">
        <f>Raw_Inventory!F47</f>
        <v>113</v>
      </c>
      <c r="F47">
        <f>Raw_Inventory!G47</f>
        <v>1500</v>
      </c>
      <c r="G47">
        <f t="shared" si="0"/>
        <v>-28</v>
      </c>
      <c r="H47">
        <f t="shared" si="1"/>
        <v>-42000</v>
      </c>
      <c r="I47" t="str">
        <f t="shared" si="2"/>
        <v>Low Stock</v>
      </c>
    </row>
    <row r="48" spans="1:9" x14ac:dyDescent="0.25">
      <c r="A48" t="str">
        <f>Raw_Inventory!A48</f>
        <v>P1047</v>
      </c>
      <c r="B48" t="str">
        <f>Raw_Inventory!B48</f>
        <v>Webcam</v>
      </c>
      <c r="C48" t="str">
        <f>Raw_Inventory!D48</f>
        <v>Acer</v>
      </c>
      <c r="D48">
        <f>Raw_Inventory!E48</f>
        <v>28</v>
      </c>
      <c r="E48">
        <f>Raw_Inventory!F48</f>
        <v>74</v>
      </c>
      <c r="F48">
        <f>Raw_Inventory!G48</f>
        <v>55000</v>
      </c>
      <c r="G48">
        <f t="shared" si="0"/>
        <v>-46</v>
      </c>
      <c r="H48">
        <f t="shared" si="1"/>
        <v>-2530000</v>
      </c>
      <c r="I48" t="str">
        <f t="shared" si="2"/>
        <v>Low Stock</v>
      </c>
    </row>
    <row r="49" spans="1:9" x14ac:dyDescent="0.25">
      <c r="A49" t="str">
        <f>Raw_Inventory!A49</f>
        <v>P1048</v>
      </c>
      <c r="B49" t="str">
        <f>Raw_Inventory!B49</f>
        <v>Tablet</v>
      </c>
      <c r="C49" t="str">
        <f>Raw_Inventory!D49</f>
        <v>HP</v>
      </c>
      <c r="D49">
        <f>Raw_Inventory!E49</f>
        <v>182</v>
      </c>
      <c r="E49">
        <f>Raw_Inventory!F49</f>
        <v>90</v>
      </c>
      <c r="F49">
        <f>Raw_Inventory!G49</f>
        <v>30000</v>
      </c>
      <c r="G49">
        <f t="shared" si="0"/>
        <v>92</v>
      </c>
      <c r="H49">
        <f t="shared" si="1"/>
        <v>2760000</v>
      </c>
      <c r="I49" t="str">
        <f t="shared" si="2"/>
        <v>OK</v>
      </c>
    </row>
    <row r="50" spans="1:9" x14ac:dyDescent="0.25">
      <c r="A50" t="str">
        <f>Raw_Inventory!A50</f>
        <v>P1049</v>
      </c>
      <c r="B50" t="str">
        <f>Raw_Inventory!B50</f>
        <v>SSD</v>
      </c>
      <c r="C50" t="str">
        <f>Raw_Inventory!D50</f>
        <v>Lenovo</v>
      </c>
      <c r="D50">
        <f>Raw_Inventory!E50</f>
        <v>82</v>
      </c>
      <c r="E50">
        <f>Raw_Inventory!F50</f>
        <v>17</v>
      </c>
      <c r="F50">
        <f>Raw_Inventory!G50</f>
        <v>1500</v>
      </c>
      <c r="G50">
        <f t="shared" si="0"/>
        <v>65</v>
      </c>
      <c r="H50">
        <f t="shared" si="1"/>
        <v>97500</v>
      </c>
      <c r="I50" t="str">
        <f t="shared" si="2"/>
        <v>OK</v>
      </c>
    </row>
    <row r="51" spans="1:9" x14ac:dyDescent="0.25">
      <c r="A51" t="str">
        <f>Raw_Inventory!A51</f>
        <v>P1050</v>
      </c>
      <c r="B51" t="str">
        <f>Raw_Inventory!B51</f>
        <v>Webcam</v>
      </c>
      <c r="C51" t="str">
        <f>Raw_Inventory!D51</f>
        <v>Canon</v>
      </c>
      <c r="D51">
        <f>Raw_Inventory!E51</f>
        <v>177</v>
      </c>
      <c r="E51">
        <f>Raw_Inventory!F51</f>
        <v>56</v>
      </c>
      <c r="F51">
        <f>Raw_Inventory!G51</f>
        <v>30000</v>
      </c>
      <c r="G51">
        <f t="shared" si="0"/>
        <v>121</v>
      </c>
      <c r="H51">
        <f t="shared" si="1"/>
        <v>3630000</v>
      </c>
      <c r="I51" t="str">
        <f t="shared" si="2"/>
        <v>OK</v>
      </c>
    </row>
    <row r="52" spans="1:9" x14ac:dyDescent="0.25">
      <c r="A52" t="str">
        <f>Raw_Inventory!A52</f>
        <v>P1051</v>
      </c>
      <c r="B52" t="str">
        <f>Raw_Inventory!B52</f>
        <v>Monitor</v>
      </c>
      <c r="C52" t="str">
        <f>Raw_Inventory!D52</f>
        <v>Acer</v>
      </c>
      <c r="D52">
        <f>Raw_Inventory!E52</f>
        <v>95</v>
      </c>
      <c r="E52">
        <f>Raw_Inventory!F52</f>
        <v>42</v>
      </c>
      <c r="F52">
        <f>Raw_Inventory!G52</f>
        <v>12000</v>
      </c>
      <c r="G52">
        <f t="shared" si="0"/>
        <v>53</v>
      </c>
      <c r="H52">
        <f t="shared" si="1"/>
        <v>636000</v>
      </c>
      <c r="I52" t="str">
        <f t="shared" si="2"/>
        <v>OK</v>
      </c>
    </row>
    <row r="53" spans="1:9" x14ac:dyDescent="0.25">
      <c r="A53" t="str">
        <f>Raw_Inventory!A53</f>
        <v>P1052</v>
      </c>
      <c r="B53" t="str">
        <f>Raw_Inventory!B53</f>
        <v>Monitor</v>
      </c>
      <c r="C53" t="str">
        <f>Raw_Inventory!D53</f>
        <v>TP-Link</v>
      </c>
      <c r="D53">
        <f>Raw_Inventory!E53</f>
        <v>115</v>
      </c>
      <c r="E53">
        <f>Raw_Inventory!F53</f>
        <v>147</v>
      </c>
      <c r="F53">
        <f>Raw_Inventory!G53</f>
        <v>1500</v>
      </c>
      <c r="G53">
        <f t="shared" si="0"/>
        <v>-32</v>
      </c>
      <c r="H53">
        <f t="shared" si="1"/>
        <v>-48000</v>
      </c>
      <c r="I53" t="str">
        <f t="shared" si="2"/>
        <v>Low Stock</v>
      </c>
    </row>
    <row r="54" spans="1:9" x14ac:dyDescent="0.25">
      <c r="A54" t="str">
        <f>Raw_Inventory!A54</f>
        <v>P1053</v>
      </c>
      <c r="B54" t="str">
        <f>Raw_Inventory!B54</f>
        <v>Printer</v>
      </c>
      <c r="C54" t="str">
        <f>Raw_Inventory!D54</f>
        <v>Canon</v>
      </c>
      <c r="D54">
        <f>Raw_Inventory!E54</f>
        <v>64</v>
      </c>
      <c r="E54">
        <f>Raw_Inventory!F54</f>
        <v>142</v>
      </c>
      <c r="F54">
        <f>Raw_Inventory!G54</f>
        <v>500</v>
      </c>
      <c r="G54">
        <f t="shared" si="0"/>
        <v>-78</v>
      </c>
      <c r="H54">
        <f t="shared" si="1"/>
        <v>-39000</v>
      </c>
      <c r="I54" t="str">
        <f t="shared" si="2"/>
        <v>Low Stock</v>
      </c>
    </row>
    <row r="55" spans="1:9" x14ac:dyDescent="0.25">
      <c r="A55" t="str">
        <f>Raw_Inventory!A55</f>
        <v>P1054</v>
      </c>
      <c r="B55" t="str">
        <f>Raw_Inventory!B55</f>
        <v>Mouse</v>
      </c>
      <c r="C55" t="str">
        <f>Raw_Inventory!D55</f>
        <v>Lenovo</v>
      </c>
      <c r="D55">
        <f>Raw_Inventory!E55</f>
        <v>80</v>
      </c>
      <c r="E55">
        <f>Raw_Inventory!F55</f>
        <v>87</v>
      </c>
      <c r="F55">
        <f>Raw_Inventory!G55</f>
        <v>800</v>
      </c>
      <c r="G55">
        <f t="shared" si="0"/>
        <v>-7</v>
      </c>
      <c r="H55">
        <f t="shared" si="1"/>
        <v>-5600</v>
      </c>
      <c r="I55" t="str">
        <f t="shared" si="2"/>
        <v>Low Stock</v>
      </c>
    </row>
    <row r="56" spans="1:9" x14ac:dyDescent="0.25">
      <c r="A56" t="str">
        <f>Raw_Inventory!A56</f>
        <v>P1055</v>
      </c>
      <c r="B56" t="str">
        <f>Raw_Inventory!B56</f>
        <v>Monitor</v>
      </c>
      <c r="C56" t="str">
        <f>Raw_Inventory!D56</f>
        <v>Samsung</v>
      </c>
      <c r="D56">
        <f>Raw_Inventory!E56</f>
        <v>97</v>
      </c>
      <c r="E56">
        <f>Raw_Inventory!F56</f>
        <v>59</v>
      </c>
      <c r="F56">
        <f>Raw_Inventory!G56</f>
        <v>55000</v>
      </c>
      <c r="G56">
        <f t="shared" si="0"/>
        <v>38</v>
      </c>
      <c r="H56">
        <f t="shared" si="1"/>
        <v>2090000</v>
      </c>
      <c r="I56" t="str">
        <f t="shared" si="2"/>
        <v>OK</v>
      </c>
    </row>
    <row r="57" spans="1:9" x14ac:dyDescent="0.25">
      <c r="A57" t="str">
        <f>Raw_Inventory!A57</f>
        <v>P1056</v>
      </c>
      <c r="B57" t="str">
        <f>Raw_Inventory!B57</f>
        <v>Webcam</v>
      </c>
      <c r="C57" t="str">
        <f>Raw_Inventory!D57</f>
        <v>Asus</v>
      </c>
      <c r="D57">
        <f>Raw_Inventory!E57</f>
        <v>174</v>
      </c>
      <c r="E57">
        <f>Raw_Inventory!F57</f>
        <v>147</v>
      </c>
      <c r="F57">
        <f>Raw_Inventory!G57</f>
        <v>500</v>
      </c>
      <c r="G57">
        <f t="shared" si="0"/>
        <v>27</v>
      </c>
      <c r="H57">
        <f t="shared" si="1"/>
        <v>13500</v>
      </c>
      <c r="I57" t="str">
        <f t="shared" si="2"/>
        <v>OK</v>
      </c>
    </row>
    <row r="58" spans="1:9" x14ac:dyDescent="0.25">
      <c r="A58" t="str">
        <f>Raw_Inventory!A58</f>
        <v>P1057</v>
      </c>
      <c r="B58" t="str">
        <f>Raw_Inventory!B58</f>
        <v>Keyboard</v>
      </c>
      <c r="C58" t="str">
        <f>Raw_Inventory!D58</f>
        <v>Logitech</v>
      </c>
      <c r="D58">
        <f>Raw_Inventory!E58</f>
        <v>108</v>
      </c>
      <c r="E58">
        <f>Raw_Inventory!F58</f>
        <v>93</v>
      </c>
      <c r="F58">
        <f>Raw_Inventory!G58</f>
        <v>1200</v>
      </c>
      <c r="G58">
        <f t="shared" si="0"/>
        <v>15</v>
      </c>
      <c r="H58">
        <f t="shared" si="1"/>
        <v>18000</v>
      </c>
      <c r="I58" t="str">
        <f t="shared" si="2"/>
        <v>OK</v>
      </c>
    </row>
    <row r="59" spans="1:9" x14ac:dyDescent="0.25">
      <c r="A59" t="str">
        <f>Raw_Inventory!A59</f>
        <v>P1058</v>
      </c>
      <c r="B59" t="str">
        <f>Raw_Inventory!B59</f>
        <v>Laptop</v>
      </c>
      <c r="C59" t="str">
        <f>Raw_Inventory!D59</f>
        <v>Seagate</v>
      </c>
      <c r="D59">
        <f>Raw_Inventory!E59</f>
        <v>151</v>
      </c>
      <c r="E59">
        <f>Raw_Inventory!F59</f>
        <v>62</v>
      </c>
      <c r="F59">
        <f>Raw_Inventory!G59</f>
        <v>55000</v>
      </c>
      <c r="G59">
        <f t="shared" si="0"/>
        <v>89</v>
      </c>
      <c r="H59">
        <f t="shared" si="1"/>
        <v>4895000</v>
      </c>
      <c r="I59" t="str">
        <f t="shared" si="2"/>
        <v>OK</v>
      </c>
    </row>
    <row r="60" spans="1:9" x14ac:dyDescent="0.25">
      <c r="A60" t="str">
        <f>Raw_Inventory!A60</f>
        <v>P1059</v>
      </c>
      <c r="B60" t="str">
        <f>Raw_Inventory!B60</f>
        <v>Tablet</v>
      </c>
      <c r="C60" t="str">
        <f>Raw_Inventory!D60</f>
        <v>Logitech</v>
      </c>
      <c r="D60">
        <f>Raw_Inventory!E60</f>
        <v>189</v>
      </c>
      <c r="E60">
        <f>Raw_Inventory!F60</f>
        <v>31</v>
      </c>
      <c r="F60">
        <f>Raw_Inventory!G60</f>
        <v>55000</v>
      </c>
      <c r="G60">
        <f t="shared" si="0"/>
        <v>158</v>
      </c>
      <c r="H60">
        <f t="shared" si="1"/>
        <v>8690000</v>
      </c>
      <c r="I60" t="str">
        <f t="shared" si="2"/>
        <v>OK</v>
      </c>
    </row>
    <row r="61" spans="1:9" x14ac:dyDescent="0.25">
      <c r="A61" t="str">
        <f>Raw_Inventory!A61</f>
        <v>P1060</v>
      </c>
      <c r="B61" t="str">
        <f>Raw_Inventory!B61</f>
        <v>Keyboard</v>
      </c>
      <c r="C61" t="str">
        <f>Raw_Inventory!D61</f>
        <v>Samsung</v>
      </c>
      <c r="D61">
        <f>Raw_Inventory!E61</f>
        <v>154</v>
      </c>
      <c r="E61">
        <f>Raw_Inventory!F61</f>
        <v>38</v>
      </c>
      <c r="F61">
        <f>Raw_Inventory!G61</f>
        <v>5000</v>
      </c>
      <c r="G61">
        <f t="shared" si="0"/>
        <v>116</v>
      </c>
      <c r="H61">
        <f t="shared" si="1"/>
        <v>580000</v>
      </c>
      <c r="I61" t="str">
        <f t="shared" si="2"/>
        <v>OK</v>
      </c>
    </row>
    <row r="62" spans="1:9" x14ac:dyDescent="0.25">
      <c r="A62" t="str">
        <f>Raw_Inventory!A62</f>
        <v>P1061</v>
      </c>
      <c r="B62" t="str">
        <f>Raw_Inventory!B62</f>
        <v>Tablet</v>
      </c>
      <c r="C62" t="str">
        <f>Raw_Inventory!D62</f>
        <v>Dell</v>
      </c>
      <c r="D62">
        <f>Raw_Inventory!E62</f>
        <v>121</v>
      </c>
      <c r="E62">
        <f>Raw_Inventory!F62</f>
        <v>0</v>
      </c>
      <c r="F62">
        <f>Raw_Inventory!G62</f>
        <v>2500</v>
      </c>
      <c r="G62">
        <f t="shared" si="0"/>
        <v>121</v>
      </c>
      <c r="H62">
        <f t="shared" si="1"/>
        <v>302500</v>
      </c>
      <c r="I62" t="str">
        <f t="shared" si="2"/>
        <v>OK</v>
      </c>
    </row>
    <row r="63" spans="1:9" x14ac:dyDescent="0.25">
      <c r="A63" t="str">
        <f>Raw_Inventory!A63</f>
        <v>P1062</v>
      </c>
      <c r="B63" t="str">
        <f>Raw_Inventory!B63</f>
        <v>Headphones</v>
      </c>
      <c r="C63" t="str">
        <f>Raw_Inventory!D63</f>
        <v>Lenovo</v>
      </c>
      <c r="D63">
        <f>Raw_Inventory!E63</f>
        <v>136</v>
      </c>
      <c r="E63">
        <f>Raw_Inventory!F63</f>
        <v>15</v>
      </c>
      <c r="F63">
        <f>Raw_Inventory!G63</f>
        <v>800</v>
      </c>
      <c r="G63">
        <f t="shared" si="0"/>
        <v>121</v>
      </c>
      <c r="H63">
        <f t="shared" si="1"/>
        <v>96800</v>
      </c>
      <c r="I63" t="str">
        <f t="shared" si="2"/>
        <v>OK</v>
      </c>
    </row>
    <row r="64" spans="1:9" x14ac:dyDescent="0.25">
      <c r="A64" t="str">
        <f>Raw_Inventory!A64</f>
        <v>P1063</v>
      </c>
      <c r="B64" t="str">
        <f>Raw_Inventory!B64</f>
        <v>Printer</v>
      </c>
      <c r="C64" t="str">
        <f>Raw_Inventory!D64</f>
        <v>Dell</v>
      </c>
      <c r="D64">
        <f>Raw_Inventory!E64</f>
        <v>195</v>
      </c>
      <c r="E64">
        <f>Raw_Inventory!F64</f>
        <v>109</v>
      </c>
      <c r="F64">
        <f>Raw_Inventory!G64</f>
        <v>800</v>
      </c>
      <c r="G64">
        <f t="shared" si="0"/>
        <v>86</v>
      </c>
      <c r="H64">
        <f t="shared" si="1"/>
        <v>68800</v>
      </c>
      <c r="I64" t="str">
        <f t="shared" si="2"/>
        <v>OK</v>
      </c>
    </row>
    <row r="65" spans="1:9" x14ac:dyDescent="0.25">
      <c r="A65" t="str">
        <f>Raw_Inventory!A65</f>
        <v>P1064</v>
      </c>
      <c r="B65" t="str">
        <f>Raw_Inventory!B65</f>
        <v>Keyboard</v>
      </c>
      <c r="C65" t="str">
        <f>Raw_Inventory!D65</f>
        <v>Lenovo</v>
      </c>
      <c r="D65">
        <f>Raw_Inventory!E65</f>
        <v>74</v>
      </c>
      <c r="E65">
        <f>Raw_Inventory!F65</f>
        <v>85</v>
      </c>
      <c r="F65">
        <f>Raw_Inventory!G65</f>
        <v>8000</v>
      </c>
      <c r="G65">
        <f t="shared" si="0"/>
        <v>-11</v>
      </c>
      <c r="H65">
        <f t="shared" si="1"/>
        <v>-88000</v>
      </c>
      <c r="I65" t="str">
        <f t="shared" si="2"/>
        <v>Low Stock</v>
      </c>
    </row>
    <row r="66" spans="1:9" x14ac:dyDescent="0.25">
      <c r="A66" t="str">
        <f>Raw_Inventory!A66</f>
        <v>P1065</v>
      </c>
      <c r="B66" t="str">
        <f>Raw_Inventory!B66</f>
        <v>Mouse</v>
      </c>
      <c r="C66" t="str">
        <f>Raw_Inventory!D66</f>
        <v>Logitech</v>
      </c>
      <c r="D66">
        <f>Raw_Inventory!E66</f>
        <v>87</v>
      </c>
      <c r="E66">
        <f>Raw_Inventory!F66</f>
        <v>47</v>
      </c>
      <c r="F66">
        <f>Raw_Inventory!G66</f>
        <v>1200</v>
      </c>
      <c r="G66">
        <f t="shared" si="0"/>
        <v>40</v>
      </c>
      <c r="H66">
        <f t="shared" si="1"/>
        <v>48000</v>
      </c>
      <c r="I66" t="str">
        <f t="shared" si="2"/>
        <v>OK</v>
      </c>
    </row>
    <row r="67" spans="1:9" x14ac:dyDescent="0.25">
      <c r="A67" t="str">
        <f>Raw_Inventory!A67</f>
        <v>P1066</v>
      </c>
      <c r="B67" t="str">
        <f>Raw_Inventory!B67</f>
        <v>Laptop</v>
      </c>
      <c r="C67" t="str">
        <f>Raw_Inventory!D67</f>
        <v>Seagate</v>
      </c>
      <c r="D67">
        <f>Raw_Inventory!E67</f>
        <v>49</v>
      </c>
      <c r="E67">
        <f>Raw_Inventory!F67</f>
        <v>44</v>
      </c>
      <c r="F67">
        <f>Raw_Inventory!G67</f>
        <v>5000</v>
      </c>
      <c r="G67">
        <f t="shared" ref="G67:G130" si="3" xml:space="preserve"> D67 - E67</f>
        <v>5</v>
      </c>
      <c r="H67">
        <f t="shared" ref="H67:H130" si="4" xml:space="preserve"> G67 * F67</f>
        <v>25000</v>
      </c>
      <c r="I67" t="str">
        <f t="shared" ref="I67:I130" si="5">IF(G67&lt;10,"Low Stock","OK")</f>
        <v>Low Stock</v>
      </c>
    </row>
    <row r="68" spans="1:9" x14ac:dyDescent="0.25">
      <c r="A68" t="str">
        <f>Raw_Inventory!A68</f>
        <v>P1067</v>
      </c>
      <c r="B68" t="str">
        <f>Raw_Inventory!B68</f>
        <v>Headphones</v>
      </c>
      <c r="C68" t="str">
        <f>Raw_Inventory!D68</f>
        <v>Samsung</v>
      </c>
      <c r="D68">
        <f>Raw_Inventory!E68</f>
        <v>125</v>
      </c>
      <c r="E68">
        <f>Raw_Inventory!F68</f>
        <v>53</v>
      </c>
      <c r="F68">
        <f>Raw_Inventory!G68</f>
        <v>1200</v>
      </c>
      <c r="G68">
        <f t="shared" si="3"/>
        <v>72</v>
      </c>
      <c r="H68">
        <f t="shared" si="4"/>
        <v>86400</v>
      </c>
      <c r="I68" t="str">
        <f t="shared" si="5"/>
        <v>OK</v>
      </c>
    </row>
    <row r="69" spans="1:9" x14ac:dyDescent="0.25">
      <c r="A69" t="str">
        <f>Raw_Inventory!A69</f>
        <v>P1068</v>
      </c>
      <c r="B69" t="str">
        <f>Raw_Inventory!B69</f>
        <v>Mouse</v>
      </c>
      <c r="C69" t="str">
        <f>Raw_Inventory!D69</f>
        <v>Dell</v>
      </c>
      <c r="D69">
        <f>Raw_Inventory!E69</f>
        <v>109</v>
      </c>
      <c r="E69">
        <f>Raw_Inventory!F69</f>
        <v>101</v>
      </c>
      <c r="F69">
        <f>Raw_Inventory!G69</f>
        <v>12000</v>
      </c>
      <c r="G69">
        <f t="shared" si="3"/>
        <v>8</v>
      </c>
      <c r="H69">
        <f t="shared" si="4"/>
        <v>96000</v>
      </c>
      <c r="I69" t="str">
        <f t="shared" si="5"/>
        <v>Low Stock</v>
      </c>
    </row>
    <row r="70" spans="1:9" x14ac:dyDescent="0.25">
      <c r="A70" t="str">
        <f>Raw_Inventory!A70</f>
        <v>P1069</v>
      </c>
      <c r="B70" t="str">
        <f>Raw_Inventory!B70</f>
        <v>Tablet</v>
      </c>
      <c r="C70" t="str">
        <f>Raw_Inventory!D70</f>
        <v>Asus</v>
      </c>
      <c r="D70">
        <f>Raw_Inventory!E70</f>
        <v>81</v>
      </c>
      <c r="E70">
        <f>Raw_Inventory!F70</f>
        <v>18</v>
      </c>
      <c r="F70">
        <f>Raw_Inventory!G70</f>
        <v>12000</v>
      </c>
      <c r="G70">
        <f t="shared" si="3"/>
        <v>63</v>
      </c>
      <c r="H70">
        <f t="shared" si="4"/>
        <v>756000</v>
      </c>
      <c r="I70" t="str">
        <f t="shared" si="5"/>
        <v>OK</v>
      </c>
    </row>
    <row r="71" spans="1:9" x14ac:dyDescent="0.25">
      <c r="A71" t="str">
        <f>Raw_Inventory!A71</f>
        <v>P1070</v>
      </c>
      <c r="B71" t="str">
        <f>Raw_Inventory!B71</f>
        <v>Router</v>
      </c>
      <c r="C71" t="str">
        <f>Raw_Inventory!D71</f>
        <v>Lenovo</v>
      </c>
      <c r="D71">
        <f>Raw_Inventory!E71</f>
        <v>156</v>
      </c>
      <c r="E71">
        <f>Raw_Inventory!F71</f>
        <v>58</v>
      </c>
      <c r="F71">
        <f>Raw_Inventory!G71</f>
        <v>30000</v>
      </c>
      <c r="G71">
        <f t="shared" si="3"/>
        <v>98</v>
      </c>
      <c r="H71">
        <f t="shared" si="4"/>
        <v>2940000</v>
      </c>
      <c r="I71" t="str">
        <f t="shared" si="5"/>
        <v>OK</v>
      </c>
    </row>
    <row r="72" spans="1:9" x14ac:dyDescent="0.25">
      <c r="A72" t="str">
        <f>Raw_Inventory!A72</f>
        <v>P1071</v>
      </c>
      <c r="B72" t="str">
        <f>Raw_Inventory!B72</f>
        <v>Keyboard</v>
      </c>
      <c r="C72" t="str">
        <f>Raw_Inventory!D72</f>
        <v>Logitech</v>
      </c>
      <c r="D72">
        <f>Raw_Inventory!E72</f>
        <v>91</v>
      </c>
      <c r="E72">
        <f>Raw_Inventory!F72</f>
        <v>114</v>
      </c>
      <c r="F72">
        <f>Raw_Inventory!G72</f>
        <v>2500</v>
      </c>
      <c r="G72">
        <f t="shared" si="3"/>
        <v>-23</v>
      </c>
      <c r="H72">
        <f t="shared" si="4"/>
        <v>-57500</v>
      </c>
      <c r="I72" t="str">
        <f t="shared" si="5"/>
        <v>Low Stock</v>
      </c>
    </row>
    <row r="73" spans="1:9" x14ac:dyDescent="0.25">
      <c r="A73" t="str">
        <f>Raw_Inventory!A73</f>
        <v>P1072</v>
      </c>
      <c r="B73" t="str">
        <f>Raw_Inventory!B73</f>
        <v>SSD</v>
      </c>
      <c r="C73" t="str">
        <f>Raw_Inventory!D73</f>
        <v>TP-Link</v>
      </c>
      <c r="D73">
        <f>Raw_Inventory!E73</f>
        <v>179</v>
      </c>
      <c r="E73">
        <f>Raw_Inventory!F73</f>
        <v>72</v>
      </c>
      <c r="F73">
        <f>Raw_Inventory!G73</f>
        <v>8000</v>
      </c>
      <c r="G73">
        <f t="shared" si="3"/>
        <v>107</v>
      </c>
      <c r="H73">
        <f t="shared" si="4"/>
        <v>856000</v>
      </c>
      <c r="I73" t="str">
        <f t="shared" si="5"/>
        <v>OK</v>
      </c>
    </row>
    <row r="74" spans="1:9" x14ac:dyDescent="0.25">
      <c r="A74" t="str">
        <f>Raw_Inventory!A74</f>
        <v>P1073</v>
      </c>
      <c r="B74" t="str">
        <f>Raw_Inventory!B74</f>
        <v>Webcam</v>
      </c>
      <c r="C74" t="str">
        <f>Raw_Inventory!D74</f>
        <v>Lenovo</v>
      </c>
      <c r="D74">
        <f>Raw_Inventory!E74</f>
        <v>75</v>
      </c>
      <c r="E74">
        <f>Raw_Inventory!F74</f>
        <v>50</v>
      </c>
      <c r="F74">
        <f>Raw_Inventory!G74</f>
        <v>2500</v>
      </c>
      <c r="G74">
        <f t="shared" si="3"/>
        <v>25</v>
      </c>
      <c r="H74">
        <f t="shared" si="4"/>
        <v>62500</v>
      </c>
      <c r="I74" t="str">
        <f t="shared" si="5"/>
        <v>OK</v>
      </c>
    </row>
    <row r="75" spans="1:9" x14ac:dyDescent="0.25">
      <c r="A75" t="str">
        <f>Raw_Inventory!A75</f>
        <v>P1074</v>
      </c>
      <c r="B75" t="str">
        <f>Raw_Inventory!B75</f>
        <v>Tablet</v>
      </c>
      <c r="C75" t="str">
        <f>Raw_Inventory!D75</f>
        <v>Asus</v>
      </c>
      <c r="D75">
        <f>Raw_Inventory!E75</f>
        <v>70</v>
      </c>
      <c r="E75">
        <f>Raw_Inventory!F75</f>
        <v>146</v>
      </c>
      <c r="F75">
        <f>Raw_Inventory!G75</f>
        <v>55000</v>
      </c>
      <c r="G75">
        <f t="shared" si="3"/>
        <v>-76</v>
      </c>
      <c r="H75">
        <f t="shared" si="4"/>
        <v>-4180000</v>
      </c>
      <c r="I75" t="str">
        <f t="shared" si="5"/>
        <v>Low Stock</v>
      </c>
    </row>
    <row r="76" spans="1:9" x14ac:dyDescent="0.25">
      <c r="A76" t="str">
        <f>Raw_Inventory!A76</f>
        <v>P1075</v>
      </c>
      <c r="B76" t="str">
        <f>Raw_Inventory!B76</f>
        <v>Laptop</v>
      </c>
      <c r="C76" t="str">
        <f>Raw_Inventory!D76</f>
        <v>Canon</v>
      </c>
      <c r="D76">
        <f>Raw_Inventory!E76</f>
        <v>65</v>
      </c>
      <c r="E76">
        <f>Raw_Inventory!F76</f>
        <v>17</v>
      </c>
      <c r="F76">
        <f>Raw_Inventory!G76</f>
        <v>500</v>
      </c>
      <c r="G76">
        <f t="shared" si="3"/>
        <v>48</v>
      </c>
      <c r="H76">
        <f t="shared" si="4"/>
        <v>24000</v>
      </c>
      <c r="I76" t="str">
        <f t="shared" si="5"/>
        <v>OK</v>
      </c>
    </row>
    <row r="77" spans="1:9" x14ac:dyDescent="0.25">
      <c r="A77" t="str">
        <f>Raw_Inventory!A77</f>
        <v>P1076</v>
      </c>
      <c r="B77" t="str">
        <f>Raw_Inventory!B77</f>
        <v>Webcam</v>
      </c>
      <c r="C77" t="str">
        <f>Raw_Inventory!D77</f>
        <v>Lenovo</v>
      </c>
      <c r="D77">
        <f>Raw_Inventory!E77</f>
        <v>138</v>
      </c>
      <c r="E77">
        <f>Raw_Inventory!F77</f>
        <v>114</v>
      </c>
      <c r="F77">
        <f>Raw_Inventory!G77</f>
        <v>12000</v>
      </c>
      <c r="G77">
        <f t="shared" si="3"/>
        <v>24</v>
      </c>
      <c r="H77">
        <f t="shared" si="4"/>
        <v>288000</v>
      </c>
      <c r="I77" t="str">
        <f t="shared" si="5"/>
        <v>OK</v>
      </c>
    </row>
    <row r="78" spans="1:9" x14ac:dyDescent="0.25">
      <c r="A78" t="str">
        <f>Raw_Inventory!A78</f>
        <v>P1077</v>
      </c>
      <c r="B78" t="str">
        <f>Raw_Inventory!B78</f>
        <v>Headphones</v>
      </c>
      <c r="C78" t="str">
        <f>Raw_Inventory!D78</f>
        <v>Logitech</v>
      </c>
      <c r="D78">
        <f>Raw_Inventory!E78</f>
        <v>34</v>
      </c>
      <c r="E78">
        <f>Raw_Inventory!F78</f>
        <v>26</v>
      </c>
      <c r="F78">
        <f>Raw_Inventory!G78</f>
        <v>8000</v>
      </c>
      <c r="G78">
        <f t="shared" si="3"/>
        <v>8</v>
      </c>
      <c r="H78">
        <f t="shared" si="4"/>
        <v>64000</v>
      </c>
      <c r="I78" t="str">
        <f t="shared" si="5"/>
        <v>Low Stock</v>
      </c>
    </row>
    <row r="79" spans="1:9" x14ac:dyDescent="0.25">
      <c r="A79" t="str">
        <f>Raw_Inventory!A79</f>
        <v>P1078</v>
      </c>
      <c r="B79" t="str">
        <f>Raw_Inventory!B79</f>
        <v>Webcam</v>
      </c>
      <c r="C79" t="str">
        <f>Raw_Inventory!D79</f>
        <v>Lenovo</v>
      </c>
      <c r="D79">
        <f>Raw_Inventory!E79</f>
        <v>124</v>
      </c>
      <c r="E79">
        <f>Raw_Inventory!F79</f>
        <v>86</v>
      </c>
      <c r="F79">
        <f>Raw_Inventory!G79</f>
        <v>1200</v>
      </c>
      <c r="G79">
        <f t="shared" si="3"/>
        <v>38</v>
      </c>
      <c r="H79">
        <f t="shared" si="4"/>
        <v>45600</v>
      </c>
      <c r="I79" t="str">
        <f t="shared" si="5"/>
        <v>OK</v>
      </c>
    </row>
    <row r="80" spans="1:9" x14ac:dyDescent="0.25">
      <c r="A80" t="str">
        <f>Raw_Inventory!A80</f>
        <v>P1079</v>
      </c>
      <c r="B80" t="str">
        <f>Raw_Inventory!B80</f>
        <v>Keyboard</v>
      </c>
      <c r="C80" t="str">
        <f>Raw_Inventory!D80</f>
        <v>TP-Link</v>
      </c>
      <c r="D80">
        <f>Raw_Inventory!E80</f>
        <v>127</v>
      </c>
      <c r="E80">
        <f>Raw_Inventory!F80</f>
        <v>4</v>
      </c>
      <c r="F80">
        <f>Raw_Inventory!G80</f>
        <v>1200</v>
      </c>
      <c r="G80">
        <f t="shared" si="3"/>
        <v>123</v>
      </c>
      <c r="H80">
        <f t="shared" si="4"/>
        <v>147600</v>
      </c>
      <c r="I80" t="str">
        <f t="shared" si="5"/>
        <v>OK</v>
      </c>
    </row>
    <row r="81" spans="1:9" x14ac:dyDescent="0.25">
      <c r="A81" t="str">
        <f>Raw_Inventory!A81</f>
        <v>P1080</v>
      </c>
      <c r="B81" t="str">
        <f>Raw_Inventory!B81</f>
        <v>Monitor</v>
      </c>
      <c r="C81" t="str">
        <f>Raw_Inventory!D81</f>
        <v>Dell</v>
      </c>
      <c r="D81">
        <f>Raw_Inventory!E81</f>
        <v>123</v>
      </c>
      <c r="E81">
        <f>Raw_Inventory!F81</f>
        <v>106</v>
      </c>
      <c r="F81">
        <f>Raw_Inventory!G81</f>
        <v>800</v>
      </c>
      <c r="G81">
        <f t="shared" si="3"/>
        <v>17</v>
      </c>
      <c r="H81">
        <f t="shared" si="4"/>
        <v>13600</v>
      </c>
      <c r="I81" t="str">
        <f t="shared" si="5"/>
        <v>OK</v>
      </c>
    </row>
    <row r="82" spans="1:9" x14ac:dyDescent="0.25">
      <c r="A82" t="str">
        <f>Raw_Inventory!A82</f>
        <v>P1081</v>
      </c>
      <c r="B82" t="str">
        <f>Raw_Inventory!B82</f>
        <v>Keyboard</v>
      </c>
      <c r="C82" t="str">
        <f>Raw_Inventory!D82</f>
        <v>Acer</v>
      </c>
      <c r="D82">
        <f>Raw_Inventory!E82</f>
        <v>74</v>
      </c>
      <c r="E82">
        <f>Raw_Inventory!F82</f>
        <v>121</v>
      </c>
      <c r="F82">
        <f>Raw_Inventory!G82</f>
        <v>1500</v>
      </c>
      <c r="G82">
        <f t="shared" si="3"/>
        <v>-47</v>
      </c>
      <c r="H82">
        <f t="shared" si="4"/>
        <v>-70500</v>
      </c>
      <c r="I82" t="str">
        <f t="shared" si="5"/>
        <v>Low Stock</v>
      </c>
    </row>
    <row r="83" spans="1:9" x14ac:dyDescent="0.25">
      <c r="A83" t="str">
        <f>Raw_Inventory!A83</f>
        <v>P1082</v>
      </c>
      <c r="B83" t="str">
        <f>Raw_Inventory!B83</f>
        <v>Webcam</v>
      </c>
      <c r="C83" t="str">
        <f>Raw_Inventory!D83</f>
        <v>Acer</v>
      </c>
      <c r="D83">
        <f>Raw_Inventory!E83</f>
        <v>186</v>
      </c>
      <c r="E83">
        <f>Raw_Inventory!F83</f>
        <v>11</v>
      </c>
      <c r="F83">
        <f>Raw_Inventory!G83</f>
        <v>12000</v>
      </c>
      <c r="G83">
        <f t="shared" si="3"/>
        <v>175</v>
      </c>
      <c r="H83">
        <f t="shared" si="4"/>
        <v>2100000</v>
      </c>
      <c r="I83" t="str">
        <f t="shared" si="5"/>
        <v>OK</v>
      </c>
    </row>
    <row r="84" spans="1:9" x14ac:dyDescent="0.25">
      <c r="A84" t="str">
        <f>Raw_Inventory!A84</f>
        <v>P1083</v>
      </c>
      <c r="B84" t="str">
        <f>Raw_Inventory!B84</f>
        <v>Printer</v>
      </c>
      <c r="C84" t="str">
        <f>Raw_Inventory!D84</f>
        <v>Asus</v>
      </c>
      <c r="D84">
        <f>Raw_Inventory!E84</f>
        <v>109</v>
      </c>
      <c r="E84">
        <f>Raw_Inventory!F84</f>
        <v>130</v>
      </c>
      <c r="F84">
        <f>Raw_Inventory!G84</f>
        <v>12000</v>
      </c>
      <c r="G84">
        <f t="shared" si="3"/>
        <v>-21</v>
      </c>
      <c r="H84">
        <f t="shared" si="4"/>
        <v>-252000</v>
      </c>
      <c r="I84" t="str">
        <f t="shared" si="5"/>
        <v>Low Stock</v>
      </c>
    </row>
    <row r="85" spans="1:9" x14ac:dyDescent="0.25">
      <c r="A85" t="str">
        <f>Raw_Inventory!A85</f>
        <v>P1084</v>
      </c>
      <c r="B85" t="str">
        <f>Raw_Inventory!B85</f>
        <v>Router</v>
      </c>
      <c r="C85" t="str">
        <f>Raw_Inventory!D85</f>
        <v>Dell</v>
      </c>
      <c r="D85">
        <f>Raw_Inventory!E85</f>
        <v>48</v>
      </c>
      <c r="E85">
        <f>Raw_Inventory!F85</f>
        <v>118</v>
      </c>
      <c r="F85">
        <f>Raw_Inventory!G85</f>
        <v>12000</v>
      </c>
      <c r="G85">
        <f t="shared" si="3"/>
        <v>-70</v>
      </c>
      <c r="H85">
        <f t="shared" si="4"/>
        <v>-840000</v>
      </c>
      <c r="I85" t="str">
        <f t="shared" si="5"/>
        <v>Low Stock</v>
      </c>
    </row>
    <row r="86" spans="1:9" x14ac:dyDescent="0.25">
      <c r="A86" t="str">
        <f>Raw_Inventory!A86</f>
        <v>P1085</v>
      </c>
      <c r="B86" t="str">
        <f>Raw_Inventory!B86</f>
        <v>Mouse</v>
      </c>
      <c r="C86" t="str">
        <f>Raw_Inventory!D86</f>
        <v>TP-Link</v>
      </c>
      <c r="D86">
        <f>Raw_Inventory!E86</f>
        <v>149</v>
      </c>
      <c r="E86">
        <f>Raw_Inventory!F86</f>
        <v>19</v>
      </c>
      <c r="F86">
        <f>Raw_Inventory!G86</f>
        <v>5000</v>
      </c>
      <c r="G86">
        <f t="shared" si="3"/>
        <v>130</v>
      </c>
      <c r="H86">
        <f t="shared" si="4"/>
        <v>650000</v>
      </c>
      <c r="I86" t="str">
        <f t="shared" si="5"/>
        <v>OK</v>
      </c>
    </row>
    <row r="87" spans="1:9" x14ac:dyDescent="0.25">
      <c r="A87" t="str">
        <f>Raw_Inventory!A87</f>
        <v>P1086</v>
      </c>
      <c r="B87" t="str">
        <f>Raw_Inventory!B87</f>
        <v>Laptop</v>
      </c>
      <c r="C87" t="str">
        <f>Raw_Inventory!D87</f>
        <v>Canon</v>
      </c>
      <c r="D87">
        <f>Raw_Inventory!E87</f>
        <v>83</v>
      </c>
      <c r="E87">
        <f>Raw_Inventory!F87</f>
        <v>111</v>
      </c>
      <c r="F87">
        <f>Raw_Inventory!G87</f>
        <v>1500</v>
      </c>
      <c r="G87">
        <f t="shared" si="3"/>
        <v>-28</v>
      </c>
      <c r="H87">
        <f t="shared" si="4"/>
        <v>-42000</v>
      </c>
      <c r="I87" t="str">
        <f t="shared" si="5"/>
        <v>Low Stock</v>
      </c>
    </row>
    <row r="88" spans="1:9" x14ac:dyDescent="0.25">
      <c r="A88" t="str">
        <f>Raw_Inventory!A88</f>
        <v>P1087</v>
      </c>
      <c r="B88" t="str">
        <f>Raw_Inventory!B88</f>
        <v>Mouse</v>
      </c>
      <c r="C88" t="str">
        <f>Raw_Inventory!D88</f>
        <v>Seagate</v>
      </c>
      <c r="D88">
        <f>Raw_Inventory!E88</f>
        <v>75</v>
      </c>
      <c r="E88">
        <f>Raw_Inventory!F88</f>
        <v>94</v>
      </c>
      <c r="F88">
        <f>Raw_Inventory!G88</f>
        <v>30000</v>
      </c>
      <c r="G88">
        <f t="shared" si="3"/>
        <v>-19</v>
      </c>
      <c r="H88">
        <f t="shared" si="4"/>
        <v>-570000</v>
      </c>
      <c r="I88" t="str">
        <f t="shared" si="5"/>
        <v>Low Stock</v>
      </c>
    </row>
    <row r="89" spans="1:9" x14ac:dyDescent="0.25">
      <c r="A89" t="str">
        <f>Raw_Inventory!A89</f>
        <v>P1088</v>
      </c>
      <c r="B89" t="str">
        <f>Raw_Inventory!B89</f>
        <v>Webcam</v>
      </c>
      <c r="C89" t="str">
        <f>Raw_Inventory!D89</f>
        <v>HP</v>
      </c>
      <c r="D89">
        <f>Raw_Inventory!E89</f>
        <v>82</v>
      </c>
      <c r="E89">
        <f>Raw_Inventory!F89</f>
        <v>68</v>
      </c>
      <c r="F89">
        <f>Raw_Inventory!G89</f>
        <v>5000</v>
      </c>
      <c r="G89">
        <f t="shared" si="3"/>
        <v>14</v>
      </c>
      <c r="H89">
        <f t="shared" si="4"/>
        <v>70000</v>
      </c>
      <c r="I89" t="str">
        <f t="shared" si="5"/>
        <v>OK</v>
      </c>
    </row>
    <row r="90" spans="1:9" x14ac:dyDescent="0.25">
      <c r="A90" t="str">
        <f>Raw_Inventory!A90</f>
        <v>P1089</v>
      </c>
      <c r="B90" t="str">
        <f>Raw_Inventory!B90</f>
        <v>Mouse</v>
      </c>
      <c r="C90" t="str">
        <f>Raw_Inventory!D90</f>
        <v>TP-Link</v>
      </c>
      <c r="D90">
        <f>Raw_Inventory!E90</f>
        <v>66</v>
      </c>
      <c r="E90">
        <f>Raw_Inventory!F90</f>
        <v>37</v>
      </c>
      <c r="F90">
        <f>Raw_Inventory!G90</f>
        <v>8000</v>
      </c>
      <c r="G90">
        <f t="shared" si="3"/>
        <v>29</v>
      </c>
      <c r="H90">
        <f t="shared" si="4"/>
        <v>232000</v>
      </c>
      <c r="I90" t="str">
        <f t="shared" si="5"/>
        <v>OK</v>
      </c>
    </row>
    <row r="91" spans="1:9" x14ac:dyDescent="0.25">
      <c r="A91" t="str">
        <f>Raw_Inventory!A91</f>
        <v>P1090</v>
      </c>
      <c r="B91" t="str">
        <f>Raw_Inventory!B91</f>
        <v>SSD</v>
      </c>
      <c r="C91" t="str">
        <f>Raw_Inventory!D91</f>
        <v>Dell</v>
      </c>
      <c r="D91">
        <f>Raw_Inventory!E91</f>
        <v>170</v>
      </c>
      <c r="E91">
        <f>Raw_Inventory!F91</f>
        <v>116</v>
      </c>
      <c r="F91">
        <f>Raw_Inventory!G91</f>
        <v>500</v>
      </c>
      <c r="G91">
        <f t="shared" si="3"/>
        <v>54</v>
      </c>
      <c r="H91">
        <f t="shared" si="4"/>
        <v>27000</v>
      </c>
      <c r="I91" t="str">
        <f t="shared" si="5"/>
        <v>OK</v>
      </c>
    </row>
    <row r="92" spans="1:9" x14ac:dyDescent="0.25">
      <c r="A92" t="str">
        <f>Raw_Inventory!A92</f>
        <v>P1091</v>
      </c>
      <c r="B92" t="str">
        <f>Raw_Inventory!B92</f>
        <v>Monitor</v>
      </c>
      <c r="C92" t="str">
        <f>Raw_Inventory!D92</f>
        <v>Canon</v>
      </c>
      <c r="D92">
        <f>Raw_Inventory!E92</f>
        <v>94</v>
      </c>
      <c r="E92">
        <f>Raw_Inventory!F92</f>
        <v>16</v>
      </c>
      <c r="F92">
        <f>Raw_Inventory!G92</f>
        <v>12000</v>
      </c>
      <c r="G92">
        <f t="shared" si="3"/>
        <v>78</v>
      </c>
      <c r="H92">
        <f t="shared" si="4"/>
        <v>936000</v>
      </c>
      <c r="I92" t="str">
        <f t="shared" si="5"/>
        <v>OK</v>
      </c>
    </row>
    <row r="93" spans="1:9" x14ac:dyDescent="0.25">
      <c r="A93" t="str">
        <f>Raw_Inventory!A93</f>
        <v>P1092</v>
      </c>
      <c r="B93" t="str">
        <f>Raw_Inventory!B93</f>
        <v>Webcam</v>
      </c>
      <c r="C93" t="str">
        <f>Raw_Inventory!D93</f>
        <v>Acer</v>
      </c>
      <c r="D93">
        <f>Raw_Inventory!E93</f>
        <v>48</v>
      </c>
      <c r="E93">
        <f>Raw_Inventory!F93</f>
        <v>30</v>
      </c>
      <c r="F93">
        <f>Raw_Inventory!G93</f>
        <v>8000</v>
      </c>
      <c r="G93">
        <f t="shared" si="3"/>
        <v>18</v>
      </c>
      <c r="H93">
        <f t="shared" si="4"/>
        <v>144000</v>
      </c>
      <c r="I93" t="str">
        <f t="shared" si="5"/>
        <v>OK</v>
      </c>
    </row>
    <row r="94" spans="1:9" x14ac:dyDescent="0.25">
      <c r="A94" t="str">
        <f>Raw_Inventory!A94</f>
        <v>P1093</v>
      </c>
      <c r="B94" t="str">
        <f>Raw_Inventory!B94</f>
        <v>Headphones</v>
      </c>
      <c r="C94" t="str">
        <f>Raw_Inventory!D94</f>
        <v>Seagate</v>
      </c>
      <c r="D94">
        <f>Raw_Inventory!E94</f>
        <v>86</v>
      </c>
      <c r="E94">
        <f>Raw_Inventory!F94</f>
        <v>102</v>
      </c>
      <c r="F94">
        <f>Raw_Inventory!G94</f>
        <v>2500</v>
      </c>
      <c r="G94">
        <f t="shared" si="3"/>
        <v>-16</v>
      </c>
      <c r="H94">
        <f t="shared" si="4"/>
        <v>-40000</v>
      </c>
      <c r="I94" t="str">
        <f t="shared" si="5"/>
        <v>Low Stock</v>
      </c>
    </row>
    <row r="95" spans="1:9" x14ac:dyDescent="0.25">
      <c r="A95" t="str">
        <f>Raw_Inventory!A95</f>
        <v>P1094</v>
      </c>
      <c r="B95" t="str">
        <f>Raw_Inventory!B95</f>
        <v>SSD</v>
      </c>
      <c r="C95" t="str">
        <f>Raw_Inventory!D95</f>
        <v>Acer</v>
      </c>
      <c r="D95">
        <f>Raw_Inventory!E95</f>
        <v>52</v>
      </c>
      <c r="E95">
        <f>Raw_Inventory!F95</f>
        <v>102</v>
      </c>
      <c r="F95">
        <f>Raw_Inventory!G95</f>
        <v>500</v>
      </c>
      <c r="G95">
        <f t="shared" si="3"/>
        <v>-50</v>
      </c>
      <c r="H95">
        <f t="shared" si="4"/>
        <v>-25000</v>
      </c>
      <c r="I95" t="str">
        <f t="shared" si="5"/>
        <v>Low Stock</v>
      </c>
    </row>
    <row r="96" spans="1:9" x14ac:dyDescent="0.25">
      <c r="A96" t="str">
        <f>Raw_Inventory!A96</f>
        <v>P1095</v>
      </c>
      <c r="B96" t="str">
        <f>Raw_Inventory!B96</f>
        <v>Webcam</v>
      </c>
      <c r="C96" t="str">
        <f>Raw_Inventory!D96</f>
        <v>HP</v>
      </c>
      <c r="D96">
        <f>Raw_Inventory!E96</f>
        <v>62</v>
      </c>
      <c r="E96">
        <f>Raw_Inventory!F96</f>
        <v>79</v>
      </c>
      <c r="F96">
        <f>Raw_Inventory!G96</f>
        <v>5000</v>
      </c>
      <c r="G96">
        <f t="shared" si="3"/>
        <v>-17</v>
      </c>
      <c r="H96">
        <f t="shared" si="4"/>
        <v>-85000</v>
      </c>
      <c r="I96" t="str">
        <f t="shared" si="5"/>
        <v>Low Stock</v>
      </c>
    </row>
    <row r="97" spans="1:9" x14ac:dyDescent="0.25">
      <c r="A97" t="str">
        <f>Raw_Inventory!A97</f>
        <v>P1096</v>
      </c>
      <c r="B97" t="str">
        <f>Raw_Inventory!B97</f>
        <v>Laptop</v>
      </c>
      <c r="C97" t="str">
        <f>Raw_Inventory!D97</f>
        <v>Samsung</v>
      </c>
      <c r="D97">
        <f>Raw_Inventory!E97</f>
        <v>63</v>
      </c>
      <c r="E97">
        <f>Raw_Inventory!F97</f>
        <v>11</v>
      </c>
      <c r="F97">
        <f>Raw_Inventory!G97</f>
        <v>1500</v>
      </c>
      <c r="G97">
        <f t="shared" si="3"/>
        <v>52</v>
      </c>
      <c r="H97">
        <f t="shared" si="4"/>
        <v>78000</v>
      </c>
      <c r="I97" t="str">
        <f t="shared" si="5"/>
        <v>OK</v>
      </c>
    </row>
    <row r="98" spans="1:9" x14ac:dyDescent="0.25">
      <c r="A98" t="str">
        <f>Raw_Inventory!A98</f>
        <v>P1097</v>
      </c>
      <c r="B98" t="str">
        <f>Raw_Inventory!B98</f>
        <v>Mouse</v>
      </c>
      <c r="C98" t="str">
        <f>Raw_Inventory!D98</f>
        <v>Logitech</v>
      </c>
      <c r="D98">
        <f>Raw_Inventory!E98</f>
        <v>86</v>
      </c>
      <c r="E98">
        <f>Raw_Inventory!F98</f>
        <v>128</v>
      </c>
      <c r="F98">
        <f>Raw_Inventory!G98</f>
        <v>2500</v>
      </c>
      <c r="G98">
        <f t="shared" si="3"/>
        <v>-42</v>
      </c>
      <c r="H98">
        <f t="shared" si="4"/>
        <v>-105000</v>
      </c>
      <c r="I98" t="str">
        <f t="shared" si="5"/>
        <v>Low Stock</v>
      </c>
    </row>
    <row r="99" spans="1:9" x14ac:dyDescent="0.25">
      <c r="A99" t="str">
        <f>Raw_Inventory!A99</f>
        <v>P1098</v>
      </c>
      <c r="B99" t="str">
        <f>Raw_Inventory!B99</f>
        <v>Mouse</v>
      </c>
      <c r="C99" t="str">
        <f>Raw_Inventory!D99</f>
        <v>TP-Link</v>
      </c>
      <c r="D99">
        <f>Raw_Inventory!E99</f>
        <v>36</v>
      </c>
      <c r="E99">
        <f>Raw_Inventory!F99</f>
        <v>107</v>
      </c>
      <c r="F99">
        <f>Raw_Inventory!G99</f>
        <v>8000</v>
      </c>
      <c r="G99">
        <f t="shared" si="3"/>
        <v>-71</v>
      </c>
      <c r="H99">
        <f t="shared" si="4"/>
        <v>-568000</v>
      </c>
      <c r="I99" t="str">
        <f t="shared" si="5"/>
        <v>Low Stock</v>
      </c>
    </row>
    <row r="100" spans="1:9" x14ac:dyDescent="0.25">
      <c r="A100" t="str">
        <f>Raw_Inventory!A100</f>
        <v>P1099</v>
      </c>
      <c r="B100" t="str">
        <f>Raw_Inventory!B100</f>
        <v>Printer</v>
      </c>
      <c r="C100" t="str">
        <f>Raw_Inventory!D100</f>
        <v>HP</v>
      </c>
      <c r="D100">
        <f>Raw_Inventory!E100</f>
        <v>27</v>
      </c>
      <c r="E100">
        <f>Raw_Inventory!F100</f>
        <v>85</v>
      </c>
      <c r="F100">
        <f>Raw_Inventory!G100</f>
        <v>5000</v>
      </c>
      <c r="G100">
        <f t="shared" si="3"/>
        <v>-58</v>
      </c>
      <c r="H100">
        <f t="shared" si="4"/>
        <v>-290000</v>
      </c>
      <c r="I100" t="str">
        <f t="shared" si="5"/>
        <v>Low Stock</v>
      </c>
    </row>
    <row r="101" spans="1:9" x14ac:dyDescent="0.25">
      <c r="A101" t="str">
        <f>Raw_Inventory!A101</f>
        <v>P1100</v>
      </c>
      <c r="B101" t="str">
        <f>Raw_Inventory!B101</f>
        <v>Laptop</v>
      </c>
      <c r="C101" t="str">
        <f>Raw_Inventory!D101</f>
        <v>TP-Link</v>
      </c>
      <c r="D101">
        <f>Raw_Inventory!E101</f>
        <v>68</v>
      </c>
      <c r="E101">
        <f>Raw_Inventory!F101</f>
        <v>122</v>
      </c>
      <c r="F101">
        <f>Raw_Inventory!G101</f>
        <v>2500</v>
      </c>
      <c r="G101">
        <f t="shared" si="3"/>
        <v>-54</v>
      </c>
      <c r="H101">
        <f t="shared" si="4"/>
        <v>-135000</v>
      </c>
      <c r="I101" t="str">
        <f t="shared" si="5"/>
        <v>Low Stock</v>
      </c>
    </row>
    <row r="102" spans="1:9" x14ac:dyDescent="0.25">
      <c r="A102" t="str">
        <f>Raw_Inventory!A102</f>
        <v>P1101</v>
      </c>
      <c r="B102" t="str">
        <f>Raw_Inventory!B102</f>
        <v>Keyboard</v>
      </c>
      <c r="C102" t="str">
        <f>Raw_Inventory!D102</f>
        <v>Asus</v>
      </c>
      <c r="D102">
        <f>Raw_Inventory!E102</f>
        <v>93</v>
      </c>
      <c r="E102">
        <f>Raw_Inventory!F102</f>
        <v>105</v>
      </c>
      <c r="F102">
        <f>Raw_Inventory!G102</f>
        <v>30000</v>
      </c>
      <c r="G102">
        <f t="shared" si="3"/>
        <v>-12</v>
      </c>
      <c r="H102">
        <f t="shared" si="4"/>
        <v>-360000</v>
      </c>
      <c r="I102" t="str">
        <f t="shared" si="5"/>
        <v>Low Stock</v>
      </c>
    </row>
    <row r="103" spans="1:9" x14ac:dyDescent="0.25">
      <c r="A103" t="str">
        <f>Raw_Inventory!A103</f>
        <v>P1102</v>
      </c>
      <c r="B103" t="str">
        <f>Raw_Inventory!B103</f>
        <v>SSD</v>
      </c>
      <c r="C103" t="str">
        <f>Raw_Inventory!D103</f>
        <v>Seagate</v>
      </c>
      <c r="D103">
        <f>Raw_Inventory!E103</f>
        <v>180</v>
      </c>
      <c r="E103">
        <f>Raw_Inventory!F103</f>
        <v>143</v>
      </c>
      <c r="F103">
        <f>Raw_Inventory!G103</f>
        <v>55000</v>
      </c>
      <c r="G103">
        <f t="shared" si="3"/>
        <v>37</v>
      </c>
      <c r="H103">
        <f t="shared" si="4"/>
        <v>2035000</v>
      </c>
      <c r="I103" t="str">
        <f t="shared" si="5"/>
        <v>OK</v>
      </c>
    </row>
    <row r="104" spans="1:9" x14ac:dyDescent="0.25">
      <c r="A104" t="str">
        <f>Raw_Inventory!A104</f>
        <v>P1103</v>
      </c>
      <c r="B104" t="str">
        <f>Raw_Inventory!B104</f>
        <v>Headphones</v>
      </c>
      <c r="C104" t="str">
        <f>Raw_Inventory!D104</f>
        <v>Lenovo</v>
      </c>
      <c r="D104">
        <f>Raw_Inventory!E104</f>
        <v>125</v>
      </c>
      <c r="E104">
        <f>Raw_Inventory!F104</f>
        <v>147</v>
      </c>
      <c r="F104">
        <f>Raw_Inventory!G104</f>
        <v>1200</v>
      </c>
      <c r="G104">
        <f t="shared" si="3"/>
        <v>-22</v>
      </c>
      <c r="H104">
        <f t="shared" si="4"/>
        <v>-26400</v>
      </c>
      <c r="I104" t="str">
        <f t="shared" si="5"/>
        <v>Low Stock</v>
      </c>
    </row>
    <row r="105" spans="1:9" x14ac:dyDescent="0.25">
      <c r="A105" t="str">
        <f>Raw_Inventory!A105</f>
        <v>P1104</v>
      </c>
      <c r="B105" t="str">
        <f>Raw_Inventory!B105</f>
        <v>Monitor</v>
      </c>
      <c r="C105" t="str">
        <f>Raw_Inventory!D105</f>
        <v>Logitech</v>
      </c>
      <c r="D105">
        <f>Raw_Inventory!E105</f>
        <v>182</v>
      </c>
      <c r="E105">
        <f>Raw_Inventory!F105</f>
        <v>24</v>
      </c>
      <c r="F105">
        <f>Raw_Inventory!G105</f>
        <v>500</v>
      </c>
      <c r="G105">
        <f t="shared" si="3"/>
        <v>158</v>
      </c>
      <c r="H105">
        <f t="shared" si="4"/>
        <v>79000</v>
      </c>
      <c r="I105" t="str">
        <f t="shared" si="5"/>
        <v>OK</v>
      </c>
    </row>
    <row r="106" spans="1:9" x14ac:dyDescent="0.25">
      <c r="A106" t="str">
        <f>Raw_Inventory!A106</f>
        <v>P1105</v>
      </c>
      <c r="B106" t="str">
        <f>Raw_Inventory!B106</f>
        <v>Printer</v>
      </c>
      <c r="C106" t="str">
        <f>Raw_Inventory!D106</f>
        <v>TP-Link</v>
      </c>
      <c r="D106">
        <f>Raw_Inventory!E106</f>
        <v>91</v>
      </c>
      <c r="E106">
        <f>Raw_Inventory!F106</f>
        <v>6</v>
      </c>
      <c r="F106">
        <f>Raw_Inventory!G106</f>
        <v>8000</v>
      </c>
      <c r="G106">
        <f t="shared" si="3"/>
        <v>85</v>
      </c>
      <c r="H106">
        <f t="shared" si="4"/>
        <v>680000</v>
      </c>
      <c r="I106" t="str">
        <f t="shared" si="5"/>
        <v>OK</v>
      </c>
    </row>
    <row r="107" spans="1:9" x14ac:dyDescent="0.25">
      <c r="A107" t="str">
        <f>Raw_Inventory!A107</f>
        <v>P1106</v>
      </c>
      <c r="B107" t="str">
        <f>Raw_Inventory!B107</f>
        <v>Monitor</v>
      </c>
      <c r="C107" t="str">
        <f>Raw_Inventory!D107</f>
        <v>HP</v>
      </c>
      <c r="D107">
        <f>Raw_Inventory!E107</f>
        <v>165</v>
      </c>
      <c r="E107">
        <f>Raw_Inventory!F107</f>
        <v>112</v>
      </c>
      <c r="F107">
        <f>Raw_Inventory!G107</f>
        <v>2500</v>
      </c>
      <c r="G107">
        <f t="shared" si="3"/>
        <v>53</v>
      </c>
      <c r="H107">
        <f t="shared" si="4"/>
        <v>132500</v>
      </c>
      <c r="I107" t="str">
        <f t="shared" si="5"/>
        <v>OK</v>
      </c>
    </row>
    <row r="108" spans="1:9" x14ac:dyDescent="0.25">
      <c r="A108" t="str">
        <f>Raw_Inventory!A108</f>
        <v>P1107</v>
      </c>
      <c r="B108" t="str">
        <f>Raw_Inventory!B108</f>
        <v>Mouse</v>
      </c>
      <c r="C108" t="str">
        <f>Raw_Inventory!D108</f>
        <v>TP-Link</v>
      </c>
      <c r="D108">
        <f>Raw_Inventory!E108</f>
        <v>32</v>
      </c>
      <c r="E108">
        <f>Raw_Inventory!F108</f>
        <v>105</v>
      </c>
      <c r="F108">
        <f>Raw_Inventory!G108</f>
        <v>500</v>
      </c>
      <c r="G108">
        <f t="shared" si="3"/>
        <v>-73</v>
      </c>
      <c r="H108">
        <f t="shared" si="4"/>
        <v>-36500</v>
      </c>
      <c r="I108" t="str">
        <f t="shared" si="5"/>
        <v>Low Stock</v>
      </c>
    </row>
    <row r="109" spans="1:9" x14ac:dyDescent="0.25">
      <c r="A109" t="str">
        <f>Raw_Inventory!A109</f>
        <v>P1108</v>
      </c>
      <c r="B109" t="str">
        <f>Raw_Inventory!B109</f>
        <v>Headphones</v>
      </c>
      <c r="C109" t="str">
        <f>Raw_Inventory!D109</f>
        <v>Lenovo</v>
      </c>
      <c r="D109">
        <f>Raw_Inventory!E109</f>
        <v>96</v>
      </c>
      <c r="E109">
        <f>Raw_Inventory!F109</f>
        <v>22</v>
      </c>
      <c r="F109">
        <f>Raw_Inventory!G109</f>
        <v>1200</v>
      </c>
      <c r="G109">
        <f t="shared" si="3"/>
        <v>74</v>
      </c>
      <c r="H109">
        <f t="shared" si="4"/>
        <v>88800</v>
      </c>
      <c r="I109" t="str">
        <f t="shared" si="5"/>
        <v>OK</v>
      </c>
    </row>
    <row r="110" spans="1:9" x14ac:dyDescent="0.25">
      <c r="A110" t="str">
        <f>Raw_Inventory!A110</f>
        <v>P1109</v>
      </c>
      <c r="B110" t="str">
        <f>Raw_Inventory!B110</f>
        <v>Router</v>
      </c>
      <c r="C110" t="str">
        <f>Raw_Inventory!D110</f>
        <v>TP-Link</v>
      </c>
      <c r="D110">
        <f>Raw_Inventory!E110</f>
        <v>129</v>
      </c>
      <c r="E110">
        <f>Raw_Inventory!F110</f>
        <v>74</v>
      </c>
      <c r="F110">
        <f>Raw_Inventory!G110</f>
        <v>8000</v>
      </c>
      <c r="G110">
        <f t="shared" si="3"/>
        <v>55</v>
      </c>
      <c r="H110">
        <f t="shared" si="4"/>
        <v>440000</v>
      </c>
      <c r="I110" t="str">
        <f t="shared" si="5"/>
        <v>OK</v>
      </c>
    </row>
    <row r="111" spans="1:9" x14ac:dyDescent="0.25">
      <c r="A111" t="str">
        <f>Raw_Inventory!A111</f>
        <v>P1110</v>
      </c>
      <c r="B111" t="str">
        <f>Raw_Inventory!B111</f>
        <v>Router</v>
      </c>
      <c r="C111" t="str">
        <f>Raw_Inventory!D111</f>
        <v>HP</v>
      </c>
      <c r="D111">
        <f>Raw_Inventory!E111</f>
        <v>60</v>
      </c>
      <c r="E111">
        <f>Raw_Inventory!F111</f>
        <v>119</v>
      </c>
      <c r="F111">
        <f>Raw_Inventory!G111</f>
        <v>55000</v>
      </c>
      <c r="G111">
        <f t="shared" si="3"/>
        <v>-59</v>
      </c>
      <c r="H111">
        <f t="shared" si="4"/>
        <v>-3245000</v>
      </c>
      <c r="I111" t="str">
        <f t="shared" si="5"/>
        <v>Low Stock</v>
      </c>
    </row>
    <row r="112" spans="1:9" x14ac:dyDescent="0.25">
      <c r="A112" t="str">
        <f>Raw_Inventory!A112</f>
        <v>P1111</v>
      </c>
      <c r="B112" t="str">
        <f>Raw_Inventory!B112</f>
        <v>Mouse</v>
      </c>
      <c r="C112" t="str">
        <f>Raw_Inventory!D112</f>
        <v>Logitech</v>
      </c>
      <c r="D112">
        <f>Raw_Inventory!E112</f>
        <v>54</v>
      </c>
      <c r="E112">
        <f>Raw_Inventory!F112</f>
        <v>147</v>
      </c>
      <c r="F112">
        <f>Raw_Inventory!G112</f>
        <v>5000</v>
      </c>
      <c r="G112">
        <f t="shared" si="3"/>
        <v>-93</v>
      </c>
      <c r="H112">
        <f t="shared" si="4"/>
        <v>-465000</v>
      </c>
      <c r="I112" t="str">
        <f t="shared" si="5"/>
        <v>Low Stock</v>
      </c>
    </row>
    <row r="113" spans="1:9" x14ac:dyDescent="0.25">
      <c r="A113" t="str">
        <f>Raw_Inventory!A113</f>
        <v>P1112</v>
      </c>
      <c r="B113" t="str">
        <f>Raw_Inventory!B113</f>
        <v>SSD</v>
      </c>
      <c r="C113" t="str">
        <f>Raw_Inventory!D113</f>
        <v>HP</v>
      </c>
      <c r="D113">
        <f>Raw_Inventory!E113</f>
        <v>58</v>
      </c>
      <c r="E113">
        <f>Raw_Inventory!F113</f>
        <v>75</v>
      </c>
      <c r="F113">
        <f>Raw_Inventory!G113</f>
        <v>55000</v>
      </c>
      <c r="G113">
        <f t="shared" si="3"/>
        <v>-17</v>
      </c>
      <c r="H113">
        <f t="shared" si="4"/>
        <v>-935000</v>
      </c>
      <c r="I113" t="str">
        <f t="shared" si="5"/>
        <v>Low Stock</v>
      </c>
    </row>
    <row r="114" spans="1:9" x14ac:dyDescent="0.25">
      <c r="A114" t="str">
        <f>Raw_Inventory!A114</f>
        <v>P1113</v>
      </c>
      <c r="B114" t="str">
        <f>Raw_Inventory!B114</f>
        <v>Headphones</v>
      </c>
      <c r="C114" t="str">
        <f>Raw_Inventory!D114</f>
        <v>Dell</v>
      </c>
      <c r="D114">
        <f>Raw_Inventory!E114</f>
        <v>95</v>
      </c>
      <c r="E114">
        <f>Raw_Inventory!F114</f>
        <v>139</v>
      </c>
      <c r="F114">
        <f>Raw_Inventory!G114</f>
        <v>12000</v>
      </c>
      <c r="G114">
        <f t="shared" si="3"/>
        <v>-44</v>
      </c>
      <c r="H114">
        <f t="shared" si="4"/>
        <v>-528000</v>
      </c>
      <c r="I114" t="str">
        <f t="shared" si="5"/>
        <v>Low Stock</v>
      </c>
    </row>
    <row r="115" spans="1:9" x14ac:dyDescent="0.25">
      <c r="A115" t="str">
        <f>Raw_Inventory!A115</f>
        <v>P1114</v>
      </c>
      <c r="B115" t="str">
        <f>Raw_Inventory!B115</f>
        <v>Router</v>
      </c>
      <c r="C115" t="str">
        <f>Raw_Inventory!D115</f>
        <v>Samsung</v>
      </c>
      <c r="D115">
        <f>Raw_Inventory!E115</f>
        <v>189</v>
      </c>
      <c r="E115">
        <f>Raw_Inventory!F115</f>
        <v>22</v>
      </c>
      <c r="F115">
        <f>Raw_Inventory!G115</f>
        <v>800</v>
      </c>
      <c r="G115">
        <f t="shared" si="3"/>
        <v>167</v>
      </c>
      <c r="H115">
        <f t="shared" si="4"/>
        <v>133600</v>
      </c>
      <c r="I115" t="str">
        <f t="shared" si="5"/>
        <v>OK</v>
      </c>
    </row>
    <row r="116" spans="1:9" x14ac:dyDescent="0.25">
      <c r="A116" t="str">
        <f>Raw_Inventory!A116</f>
        <v>P1115</v>
      </c>
      <c r="B116" t="str">
        <f>Raw_Inventory!B116</f>
        <v>Headphones</v>
      </c>
      <c r="C116" t="str">
        <f>Raw_Inventory!D116</f>
        <v>Samsung</v>
      </c>
      <c r="D116">
        <f>Raw_Inventory!E116</f>
        <v>98</v>
      </c>
      <c r="E116">
        <f>Raw_Inventory!F116</f>
        <v>110</v>
      </c>
      <c r="F116">
        <f>Raw_Inventory!G116</f>
        <v>5000</v>
      </c>
      <c r="G116">
        <f t="shared" si="3"/>
        <v>-12</v>
      </c>
      <c r="H116">
        <f t="shared" si="4"/>
        <v>-60000</v>
      </c>
      <c r="I116" t="str">
        <f t="shared" si="5"/>
        <v>Low Stock</v>
      </c>
    </row>
    <row r="117" spans="1:9" x14ac:dyDescent="0.25">
      <c r="A117" t="str">
        <f>Raw_Inventory!A117</f>
        <v>P1116</v>
      </c>
      <c r="B117" t="str">
        <f>Raw_Inventory!B117</f>
        <v>Tablet</v>
      </c>
      <c r="C117" t="str">
        <f>Raw_Inventory!D117</f>
        <v>Asus</v>
      </c>
      <c r="D117">
        <f>Raw_Inventory!E117</f>
        <v>49</v>
      </c>
      <c r="E117">
        <f>Raw_Inventory!F117</f>
        <v>120</v>
      </c>
      <c r="F117">
        <f>Raw_Inventory!G117</f>
        <v>30000</v>
      </c>
      <c r="G117">
        <f t="shared" si="3"/>
        <v>-71</v>
      </c>
      <c r="H117">
        <f t="shared" si="4"/>
        <v>-2130000</v>
      </c>
      <c r="I117" t="str">
        <f t="shared" si="5"/>
        <v>Low Stock</v>
      </c>
    </row>
    <row r="118" spans="1:9" x14ac:dyDescent="0.25">
      <c r="A118" t="str">
        <f>Raw_Inventory!A118</f>
        <v>P1117</v>
      </c>
      <c r="B118" t="str">
        <f>Raw_Inventory!B118</f>
        <v>Webcam</v>
      </c>
      <c r="C118" t="str">
        <f>Raw_Inventory!D118</f>
        <v>Canon</v>
      </c>
      <c r="D118">
        <f>Raw_Inventory!E118</f>
        <v>198</v>
      </c>
      <c r="E118">
        <f>Raw_Inventory!F118</f>
        <v>72</v>
      </c>
      <c r="F118">
        <f>Raw_Inventory!G118</f>
        <v>8000</v>
      </c>
      <c r="G118">
        <f t="shared" si="3"/>
        <v>126</v>
      </c>
      <c r="H118">
        <f t="shared" si="4"/>
        <v>1008000</v>
      </c>
      <c r="I118" t="str">
        <f t="shared" si="5"/>
        <v>OK</v>
      </c>
    </row>
    <row r="119" spans="1:9" x14ac:dyDescent="0.25">
      <c r="A119" t="str">
        <f>Raw_Inventory!A119</f>
        <v>P1118</v>
      </c>
      <c r="B119" t="str">
        <f>Raw_Inventory!B119</f>
        <v>Monitor</v>
      </c>
      <c r="C119" t="str">
        <f>Raw_Inventory!D119</f>
        <v>Lenovo</v>
      </c>
      <c r="D119">
        <f>Raw_Inventory!E119</f>
        <v>66</v>
      </c>
      <c r="E119">
        <f>Raw_Inventory!F119</f>
        <v>111</v>
      </c>
      <c r="F119">
        <f>Raw_Inventory!G119</f>
        <v>800</v>
      </c>
      <c r="G119">
        <f t="shared" si="3"/>
        <v>-45</v>
      </c>
      <c r="H119">
        <f t="shared" si="4"/>
        <v>-36000</v>
      </c>
      <c r="I119" t="str">
        <f t="shared" si="5"/>
        <v>Low Stock</v>
      </c>
    </row>
    <row r="120" spans="1:9" x14ac:dyDescent="0.25">
      <c r="A120" t="str">
        <f>Raw_Inventory!A120</f>
        <v>P1119</v>
      </c>
      <c r="B120" t="str">
        <f>Raw_Inventory!B120</f>
        <v>Mouse</v>
      </c>
      <c r="C120" t="str">
        <f>Raw_Inventory!D120</f>
        <v>Asus</v>
      </c>
      <c r="D120">
        <f>Raw_Inventory!E120</f>
        <v>163</v>
      </c>
      <c r="E120">
        <f>Raw_Inventory!F120</f>
        <v>77</v>
      </c>
      <c r="F120">
        <f>Raw_Inventory!G120</f>
        <v>1500</v>
      </c>
      <c r="G120">
        <f t="shared" si="3"/>
        <v>86</v>
      </c>
      <c r="H120">
        <f t="shared" si="4"/>
        <v>129000</v>
      </c>
      <c r="I120" t="str">
        <f t="shared" si="5"/>
        <v>OK</v>
      </c>
    </row>
    <row r="121" spans="1:9" x14ac:dyDescent="0.25">
      <c r="A121" t="str">
        <f>Raw_Inventory!A121</f>
        <v>P1120</v>
      </c>
      <c r="B121" t="str">
        <f>Raw_Inventory!B121</f>
        <v>Router</v>
      </c>
      <c r="C121" t="str">
        <f>Raw_Inventory!D121</f>
        <v>Acer</v>
      </c>
      <c r="D121">
        <f>Raw_Inventory!E121</f>
        <v>65</v>
      </c>
      <c r="E121">
        <f>Raw_Inventory!F121</f>
        <v>56</v>
      </c>
      <c r="F121">
        <f>Raw_Inventory!G121</f>
        <v>12000</v>
      </c>
      <c r="G121">
        <f t="shared" si="3"/>
        <v>9</v>
      </c>
      <c r="H121">
        <f t="shared" si="4"/>
        <v>108000</v>
      </c>
      <c r="I121" t="str">
        <f t="shared" si="5"/>
        <v>Low Stock</v>
      </c>
    </row>
    <row r="122" spans="1:9" x14ac:dyDescent="0.25">
      <c r="A122" t="str">
        <f>Raw_Inventory!A122</f>
        <v>P1121</v>
      </c>
      <c r="B122" t="str">
        <f>Raw_Inventory!B122</f>
        <v>Keyboard</v>
      </c>
      <c r="C122" t="str">
        <f>Raw_Inventory!D122</f>
        <v>Samsung</v>
      </c>
      <c r="D122">
        <f>Raw_Inventory!E122</f>
        <v>129</v>
      </c>
      <c r="E122">
        <f>Raw_Inventory!F122</f>
        <v>121</v>
      </c>
      <c r="F122">
        <f>Raw_Inventory!G122</f>
        <v>8000</v>
      </c>
      <c r="G122">
        <f t="shared" si="3"/>
        <v>8</v>
      </c>
      <c r="H122">
        <f t="shared" si="4"/>
        <v>64000</v>
      </c>
      <c r="I122" t="str">
        <f t="shared" si="5"/>
        <v>Low Stock</v>
      </c>
    </row>
    <row r="123" spans="1:9" x14ac:dyDescent="0.25">
      <c r="A123" t="str">
        <f>Raw_Inventory!A123</f>
        <v>P1122</v>
      </c>
      <c r="B123" t="str">
        <f>Raw_Inventory!B123</f>
        <v>Printer</v>
      </c>
      <c r="C123" t="str">
        <f>Raw_Inventory!D123</f>
        <v>Dell</v>
      </c>
      <c r="D123">
        <f>Raw_Inventory!E123</f>
        <v>194</v>
      </c>
      <c r="E123">
        <f>Raw_Inventory!F123</f>
        <v>15</v>
      </c>
      <c r="F123">
        <f>Raw_Inventory!G123</f>
        <v>1200</v>
      </c>
      <c r="G123">
        <f t="shared" si="3"/>
        <v>179</v>
      </c>
      <c r="H123">
        <f t="shared" si="4"/>
        <v>214800</v>
      </c>
      <c r="I123" t="str">
        <f t="shared" si="5"/>
        <v>OK</v>
      </c>
    </row>
    <row r="124" spans="1:9" x14ac:dyDescent="0.25">
      <c r="A124" t="str">
        <f>Raw_Inventory!A124</f>
        <v>P1123</v>
      </c>
      <c r="B124" t="str">
        <f>Raw_Inventory!B124</f>
        <v>Router</v>
      </c>
      <c r="C124" t="str">
        <f>Raw_Inventory!D124</f>
        <v>Asus</v>
      </c>
      <c r="D124">
        <f>Raw_Inventory!E124</f>
        <v>186</v>
      </c>
      <c r="E124">
        <f>Raw_Inventory!F124</f>
        <v>135</v>
      </c>
      <c r="F124">
        <f>Raw_Inventory!G124</f>
        <v>500</v>
      </c>
      <c r="G124">
        <f t="shared" si="3"/>
        <v>51</v>
      </c>
      <c r="H124">
        <f t="shared" si="4"/>
        <v>25500</v>
      </c>
      <c r="I124" t="str">
        <f t="shared" si="5"/>
        <v>OK</v>
      </c>
    </row>
    <row r="125" spans="1:9" x14ac:dyDescent="0.25">
      <c r="A125" t="str">
        <f>Raw_Inventory!A125</f>
        <v>P1124</v>
      </c>
      <c r="B125" t="str">
        <f>Raw_Inventory!B125</f>
        <v>Keyboard</v>
      </c>
      <c r="C125" t="str">
        <f>Raw_Inventory!D125</f>
        <v>HP</v>
      </c>
      <c r="D125">
        <f>Raw_Inventory!E125</f>
        <v>60</v>
      </c>
      <c r="E125">
        <f>Raw_Inventory!F125</f>
        <v>41</v>
      </c>
      <c r="F125">
        <f>Raw_Inventory!G125</f>
        <v>1200</v>
      </c>
      <c r="G125">
        <f t="shared" si="3"/>
        <v>19</v>
      </c>
      <c r="H125">
        <f t="shared" si="4"/>
        <v>22800</v>
      </c>
      <c r="I125" t="str">
        <f t="shared" si="5"/>
        <v>OK</v>
      </c>
    </row>
    <row r="126" spans="1:9" x14ac:dyDescent="0.25">
      <c r="A126" t="str">
        <f>Raw_Inventory!A126</f>
        <v>P1125</v>
      </c>
      <c r="B126" t="str">
        <f>Raw_Inventory!B126</f>
        <v>Printer</v>
      </c>
      <c r="C126" t="str">
        <f>Raw_Inventory!D126</f>
        <v>Logitech</v>
      </c>
      <c r="D126">
        <f>Raw_Inventory!E126</f>
        <v>63</v>
      </c>
      <c r="E126">
        <f>Raw_Inventory!F126</f>
        <v>93</v>
      </c>
      <c r="F126">
        <f>Raw_Inventory!G126</f>
        <v>12000</v>
      </c>
      <c r="G126">
        <f t="shared" si="3"/>
        <v>-30</v>
      </c>
      <c r="H126">
        <f t="shared" si="4"/>
        <v>-360000</v>
      </c>
      <c r="I126" t="str">
        <f t="shared" si="5"/>
        <v>Low Stock</v>
      </c>
    </row>
    <row r="127" spans="1:9" x14ac:dyDescent="0.25">
      <c r="A127" t="str">
        <f>Raw_Inventory!A127</f>
        <v>P1126</v>
      </c>
      <c r="B127" t="str">
        <f>Raw_Inventory!B127</f>
        <v>Router</v>
      </c>
      <c r="C127" t="str">
        <f>Raw_Inventory!D127</f>
        <v>Asus</v>
      </c>
      <c r="D127">
        <f>Raw_Inventory!E127</f>
        <v>186</v>
      </c>
      <c r="E127">
        <f>Raw_Inventory!F127</f>
        <v>44</v>
      </c>
      <c r="F127">
        <f>Raw_Inventory!G127</f>
        <v>5000</v>
      </c>
      <c r="G127">
        <f t="shared" si="3"/>
        <v>142</v>
      </c>
      <c r="H127">
        <f t="shared" si="4"/>
        <v>710000</v>
      </c>
      <c r="I127" t="str">
        <f t="shared" si="5"/>
        <v>OK</v>
      </c>
    </row>
    <row r="128" spans="1:9" x14ac:dyDescent="0.25">
      <c r="A128" t="str">
        <f>Raw_Inventory!A128</f>
        <v>P1127</v>
      </c>
      <c r="B128" t="str">
        <f>Raw_Inventory!B128</f>
        <v>Headphones</v>
      </c>
      <c r="C128" t="str">
        <f>Raw_Inventory!D128</f>
        <v>Seagate</v>
      </c>
      <c r="D128">
        <f>Raw_Inventory!E128</f>
        <v>52</v>
      </c>
      <c r="E128">
        <f>Raw_Inventory!F128</f>
        <v>91</v>
      </c>
      <c r="F128">
        <f>Raw_Inventory!G128</f>
        <v>12000</v>
      </c>
      <c r="G128">
        <f t="shared" si="3"/>
        <v>-39</v>
      </c>
      <c r="H128">
        <f t="shared" si="4"/>
        <v>-468000</v>
      </c>
      <c r="I128" t="str">
        <f t="shared" si="5"/>
        <v>Low Stock</v>
      </c>
    </row>
    <row r="129" spans="1:9" x14ac:dyDescent="0.25">
      <c r="A129" t="str">
        <f>Raw_Inventory!A129</f>
        <v>P1128</v>
      </c>
      <c r="B129" t="str">
        <f>Raw_Inventory!B129</f>
        <v>Webcam</v>
      </c>
      <c r="C129" t="str">
        <f>Raw_Inventory!D129</f>
        <v>Logitech</v>
      </c>
      <c r="D129">
        <f>Raw_Inventory!E129</f>
        <v>27</v>
      </c>
      <c r="E129">
        <f>Raw_Inventory!F129</f>
        <v>131</v>
      </c>
      <c r="F129">
        <f>Raw_Inventory!G129</f>
        <v>30000</v>
      </c>
      <c r="G129">
        <f t="shared" si="3"/>
        <v>-104</v>
      </c>
      <c r="H129">
        <f t="shared" si="4"/>
        <v>-3120000</v>
      </c>
      <c r="I129" t="str">
        <f t="shared" si="5"/>
        <v>Low Stock</v>
      </c>
    </row>
    <row r="130" spans="1:9" x14ac:dyDescent="0.25">
      <c r="A130" t="str">
        <f>Raw_Inventory!A130</f>
        <v>P1129</v>
      </c>
      <c r="B130" t="str">
        <f>Raw_Inventory!B130</f>
        <v>Tablet</v>
      </c>
      <c r="C130" t="str">
        <f>Raw_Inventory!D130</f>
        <v>Acer</v>
      </c>
      <c r="D130">
        <f>Raw_Inventory!E130</f>
        <v>48</v>
      </c>
      <c r="E130">
        <f>Raw_Inventory!F130</f>
        <v>25</v>
      </c>
      <c r="F130">
        <f>Raw_Inventory!G130</f>
        <v>5000</v>
      </c>
      <c r="G130">
        <f t="shared" si="3"/>
        <v>23</v>
      </c>
      <c r="H130">
        <f t="shared" si="4"/>
        <v>115000</v>
      </c>
      <c r="I130" t="str">
        <f t="shared" si="5"/>
        <v>OK</v>
      </c>
    </row>
    <row r="131" spans="1:9" x14ac:dyDescent="0.25">
      <c r="A131" t="str">
        <f>Raw_Inventory!A131</f>
        <v>P1130</v>
      </c>
      <c r="B131" t="str">
        <f>Raw_Inventory!B131</f>
        <v>Laptop</v>
      </c>
      <c r="C131" t="str">
        <f>Raw_Inventory!D131</f>
        <v>Samsung</v>
      </c>
      <c r="D131">
        <f>Raw_Inventory!E131</f>
        <v>144</v>
      </c>
      <c r="E131">
        <f>Raw_Inventory!F131</f>
        <v>147</v>
      </c>
      <c r="F131">
        <f>Raw_Inventory!G131</f>
        <v>500</v>
      </c>
      <c r="G131">
        <f t="shared" ref="G131:G194" si="6" xml:space="preserve"> D131 - E131</f>
        <v>-3</v>
      </c>
      <c r="H131">
        <f t="shared" ref="H131:H194" si="7" xml:space="preserve"> G131 * F131</f>
        <v>-1500</v>
      </c>
      <c r="I131" t="str">
        <f t="shared" ref="I131:I194" si="8">IF(G131&lt;10,"Low Stock","OK")</f>
        <v>Low Stock</v>
      </c>
    </row>
    <row r="132" spans="1:9" x14ac:dyDescent="0.25">
      <c r="A132" t="str">
        <f>Raw_Inventory!A132</f>
        <v>P1131</v>
      </c>
      <c r="B132" t="str">
        <f>Raw_Inventory!B132</f>
        <v>Keyboard</v>
      </c>
      <c r="C132" t="str">
        <f>Raw_Inventory!D132</f>
        <v>Logitech</v>
      </c>
      <c r="D132">
        <f>Raw_Inventory!E132</f>
        <v>50</v>
      </c>
      <c r="E132">
        <f>Raw_Inventory!F132</f>
        <v>80</v>
      </c>
      <c r="F132">
        <f>Raw_Inventory!G132</f>
        <v>5000</v>
      </c>
      <c r="G132">
        <f t="shared" si="6"/>
        <v>-30</v>
      </c>
      <c r="H132">
        <f t="shared" si="7"/>
        <v>-150000</v>
      </c>
      <c r="I132" t="str">
        <f t="shared" si="8"/>
        <v>Low Stock</v>
      </c>
    </row>
    <row r="133" spans="1:9" x14ac:dyDescent="0.25">
      <c r="A133" t="str">
        <f>Raw_Inventory!A133</f>
        <v>P1132</v>
      </c>
      <c r="B133" t="str">
        <f>Raw_Inventory!B133</f>
        <v>Tablet</v>
      </c>
      <c r="C133" t="str">
        <f>Raw_Inventory!D133</f>
        <v>Acer</v>
      </c>
      <c r="D133">
        <f>Raw_Inventory!E133</f>
        <v>189</v>
      </c>
      <c r="E133">
        <f>Raw_Inventory!F133</f>
        <v>23</v>
      </c>
      <c r="F133">
        <f>Raw_Inventory!G133</f>
        <v>2500</v>
      </c>
      <c r="G133">
        <f t="shared" si="6"/>
        <v>166</v>
      </c>
      <c r="H133">
        <f t="shared" si="7"/>
        <v>415000</v>
      </c>
      <c r="I133" t="str">
        <f t="shared" si="8"/>
        <v>OK</v>
      </c>
    </row>
    <row r="134" spans="1:9" x14ac:dyDescent="0.25">
      <c r="A134" t="str">
        <f>Raw_Inventory!A134</f>
        <v>P1133</v>
      </c>
      <c r="B134" t="str">
        <f>Raw_Inventory!B134</f>
        <v>Monitor</v>
      </c>
      <c r="C134" t="str">
        <f>Raw_Inventory!D134</f>
        <v>TP-Link</v>
      </c>
      <c r="D134">
        <f>Raw_Inventory!E134</f>
        <v>44</v>
      </c>
      <c r="E134">
        <f>Raw_Inventory!F134</f>
        <v>30</v>
      </c>
      <c r="F134">
        <f>Raw_Inventory!G134</f>
        <v>30000</v>
      </c>
      <c r="G134">
        <f t="shared" si="6"/>
        <v>14</v>
      </c>
      <c r="H134">
        <f t="shared" si="7"/>
        <v>420000</v>
      </c>
      <c r="I134" t="str">
        <f t="shared" si="8"/>
        <v>OK</v>
      </c>
    </row>
    <row r="135" spans="1:9" x14ac:dyDescent="0.25">
      <c r="A135" t="str">
        <f>Raw_Inventory!A135</f>
        <v>P1134</v>
      </c>
      <c r="B135" t="str">
        <f>Raw_Inventory!B135</f>
        <v>Laptop</v>
      </c>
      <c r="C135" t="str">
        <f>Raw_Inventory!D135</f>
        <v>Canon</v>
      </c>
      <c r="D135">
        <f>Raw_Inventory!E135</f>
        <v>76</v>
      </c>
      <c r="E135">
        <f>Raw_Inventory!F135</f>
        <v>76</v>
      </c>
      <c r="F135">
        <f>Raw_Inventory!G135</f>
        <v>500</v>
      </c>
      <c r="G135">
        <f t="shared" si="6"/>
        <v>0</v>
      </c>
      <c r="H135">
        <f t="shared" si="7"/>
        <v>0</v>
      </c>
      <c r="I135" t="str">
        <f t="shared" si="8"/>
        <v>Low Stock</v>
      </c>
    </row>
    <row r="136" spans="1:9" x14ac:dyDescent="0.25">
      <c r="A136" t="str">
        <f>Raw_Inventory!A136</f>
        <v>P1135</v>
      </c>
      <c r="B136" t="str">
        <f>Raw_Inventory!B136</f>
        <v>Printer</v>
      </c>
      <c r="C136" t="str">
        <f>Raw_Inventory!D136</f>
        <v>Asus</v>
      </c>
      <c r="D136">
        <f>Raw_Inventory!E136</f>
        <v>197</v>
      </c>
      <c r="E136">
        <f>Raw_Inventory!F136</f>
        <v>129</v>
      </c>
      <c r="F136">
        <f>Raw_Inventory!G136</f>
        <v>30000</v>
      </c>
      <c r="G136">
        <f t="shared" si="6"/>
        <v>68</v>
      </c>
      <c r="H136">
        <f t="shared" si="7"/>
        <v>2040000</v>
      </c>
      <c r="I136" t="str">
        <f t="shared" si="8"/>
        <v>OK</v>
      </c>
    </row>
    <row r="137" spans="1:9" x14ac:dyDescent="0.25">
      <c r="A137" t="str">
        <f>Raw_Inventory!A137</f>
        <v>P1136</v>
      </c>
      <c r="B137" t="str">
        <f>Raw_Inventory!B137</f>
        <v>Tablet</v>
      </c>
      <c r="C137" t="str">
        <f>Raw_Inventory!D137</f>
        <v>Canon</v>
      </c>
      <c r="D137">
        <f>Raw_Inventory!E137</f>
        <v>153</v>
      </c>
      <c r="E137">
        <f>Raw_Inventory!F137</f>
        <v>135</v>
      </c>
      <c r="F137">
        <f>Raw_Inventory!G137</f>
        <v>500</v>
      </c>
      <c r="G137">
        <f t="shared" si="6"/>
        <v>18</v>
      </c>
      <c r="H137">
        <f t="shared" si="7"/>
        <v>9000</v>
      </c>
      <c r="I137" t="str">
        <f t="shared" si="8"/>
        <v>OK</v>
      </c>
    </row>
    <row r="138" spans="1:9" x14ac:dyDescent="0.25">
      <c r="A138" t="str">
        <f>Raw_Inventory!A138</f>
        <v>P1137</v>
      </c>
      <c r="B138" t="str">
        <f>Raw_Inventory!B138</f>
        <v>Monitor</v>
      </c>
      <c r="C138" t="str">
        <f>Raw_Inventory!D138</f>
        <v>Lenovo</v>
      </c>
      <c r="D138">
        <f>Raw_Inventory!E138</f>
        <v>72</v>
      </c>
      <c r="E138">
        <f>Raw_Inventory!F138</f>
        <v>109</v>
      </c>
      <c r="F138">
        <f>Raw_Inventory!G138</f>
        <v>8000</v>
      </c>
      <c r="G138">
        <f t="shared" si="6"/>
        <v>-37</v>
      </c>
      <c r="H138">
        <f t="shared" si="7"/>
        <v>-296000</v>
      </c>
      <c r="I138" t="str">
        <f t="shared" si="8"/>
        <v>Low Stock</v>
      </c>
    </row>
    <row r="139" spans="1:9" x14ac:dyDescent="0.25">
      <c r="A139" t="str">
        <f>Raw_Inventory!A139</f>
        <v>P1138</v>
      </c>
      <c r="B139" t="str">
        <f>Raw_Inventory!B139</f>
        <v>Keyboard</v>
      </c>
      <c r="C139" t="str">
        <f>Raw_Inventory!D139</f>
        <v>Asus</v>
      </c>
      <c r="D139">
        <f>Raw_Inventory!E139</f>
        <v>146</v>
      </c>
      <c r="E139">
        <f>Raw_Inventory!F139</f>
        <v>37</v>
      </c>
      <c r="F139">
        <f>Raw_Inventory!G139</f>
        <v>8000</v>
      </c>
      <c r="G139">
        <f t="shared" si="6"/>
        <v>109</v>
      </c>
      <c r="H139">
        <f t="shared" si="7"/>
        <v>872000</v>
      </c>
      <c r="I139" t="str">
        <f t="shared" si="8"/>
        <v>OK</v>
      </c>
    </row>
    <row r="140" spans="1:9" x14ac:dyDescent="0.25">
      <c r="A140" t="str">
        <f>Raw_Inventory!A140</f>
        <v>P1139</v>
      </c>
      <c r="B140" t="str">
        <f>Raw_Inventory!B140</f>
        <v>Mouse</v>
      </c>
      <c r="C140" t="str">
        <f>Raw_Inventory!D140</f>
        <v>TP-Link</v>
      </c>
      <c r="D140">
        <f>Raw_Inventory!E140</f>
        <v>124</v>
      </c>
      <c r="E140">
        <f>Raw_Inventory!F140</f>
        <v>135</v>
      </c>
      <c r="F140">
        <f>Raw_Inventory!G140</f>
        <v>55000</v>
      </c>
      <c r="G140">
        <f t="shared" si="6"/>
        <v>-11</v>
      </c>
      <c r="H140">
        <f t="shared" si="7"/>
        <v>-605000</v>
      </c>
      <c r="I140" t="str">
        <f t="shared" si="8"/>
        <v>Low Stock</v>
      </c>
    </row>
    <row r="141" spans="1:9" x14ac:dyDescent="0.25">
      <c r="A141" t="str">
        <f>Raw_Inventory!A141</f>
        <v>P1140</v>
      </c>
      <c r="B141" t="str">
        <f>Raw_Inventory!B141</f>
        <v>SSD</v>
      </c>
      <c r="C141" t="str">
        <f>Raw_Inventory!D141</f>
        <v>TP-Link</v>
      </c>
      <c r="D141">
        <f>Raw_Inventory!E141</f>
        <v>91</v>
      </c>
      <c r="E141">
        <f>Raw_Inventory!F141</f>
        <v>69</v>
      </c>
      <c r="F141">
        <f>Raw_Inventory!G141</f>
        <v>8000</v>
      </c>
      <c r="G141">
        <f t="shared" si="6"/>
        <v>22</v>
      </c>
      <c r="H141">
        <f t="shared" si="7"/>
        <v>176000</v>
      </c>
      <c r="I141" t="str">
        <f t="shared" si="8"/>
        <v>OK</v>
      </c>
    </row>
    <row r="142" spans="1:9" x14ac:dyDescent="0.25">
      <c r="A142" t="str">
        <f>Raw_Inventory!A142</f>
        <v>P1141</v>
      </c>
      <c r="B142" t="str">
        <f>Raw_Inventory!B142</f>
        <v>Tablet</v>
      </c>
      <c r="C142" t="str">
        <f>Raw_Inventory!D142</f>
        <v>Seagate</v>
      </c>
      <c r="D142">
        <f>Raw_Inventory!E142</f>
        <v>107</v>
      </c>
      <c r="E142">
        <f>Raw_Inventory!F142</f>
        <v>139</v>
      </c>
      <c r="F142">
        <f>Raw_Inventory!G142</f>
        <v>500</v>
      </c>
      <c r="G142">
        <f t="shared" si="6"/>
        <v>-32</v>
      </c>
      <c r="H142">
        <f t="shared" si="7"/>
        <v>-16000</v>
      </c>
      <c r="I142" t="str">
        <f t="shared" si="8"/>
        <v>Low Stock</v>
      </c>
    </row>
    <row r="143" spans="1:9" x14ac:dyDescent="0.25">
      <c r="A143" t="str">
        <f>Raw_Inventory!A143</f>
        <v>P1142</v>
      </c>
      <c r="B143" t="str">
        <f>Raw_Inventory!B143</f>
        <v>SSD</v>
      </c>
      <c r="C143" t="str">
        <f>Raw_Inventory!D143</f>
        <v>Dell</v>
      </c>
      <c r="D143">
        <f>Raw_Inventory!E143</f>
        <v>140</v>
      </c>
      <c r="E143">
        <f>Raw_Inventory!F143</f>
        <v>49</v>
      </c>
      <c r="F143">
        <f>Raw_Inventory!G143</f>
        <v>500</v>
      </c>
      <c r="G143">
        <f t="shared" si="6"/>
        <v>91</v>
      </c>
      <c r="H143">
        <f t="shared" si="7"/>
        <v>45500</v>
      </c>
      <c r="I143" t="str">
        <f t="shared" si="8"/>
        <v>OK</v>
      </c>
    </row>
    <row r="144" spans="1:9" x14ac:dyDescent="0.25">
      <c r="A144" t="str">
        <f>Raw_Inventory!A144</f>
        <v>P1143</v>
      </c>
      <c r="B144" t="str">
        <f>Raw_Inventory!B144</f>
        <v>Mouse</v>
      </c>
      <c r="C144" t="str">
        <f>Raw_Inventory!D144</f>
        <v>HP</v>
      </c>
      <c r="D144">
        <f>Raw_Inventory!E144</f>
        <v>117</v>
      </c>
      <c r="E144">
        <f>Raw_Inventory!F144</f>
        <v>148</v>
      </c>
      <c r="F144">
        <f>Raw_Inventory!G144</f>
        <v>55000</v>
      </c>
      <c r="G144">
        <f t="shared" si="6"/>
        <v>-31</v>
      </c>
      <c r="H144">
        <f t="shared" si="7"/>
        <v>-1705000</v>
      </c>
      <c r="I144" t="str">
        <f t="shared" si="8"/>
        <v>Low Stock</v>
      </c>
    </row>
    <row r="145" spans="1:9" x14ac:dyDescent="0.25">
      <c r="A145" t="str">
        <f>Raw_Inventory!A145</f>
        <v>P1144</v>
      </c>
      <c r="B145" t="str">
        <f>Raw_Inventory!B145</f>
        <v>Keyboard</v>
      </c>
      <c r="C145" t="str">
        <f>Raw_Inventory!D145</f>
        <v>Samsung</v>
      </c>
      <c r="D145">
        <f>Raw_Inventory!E145</f>
        <v>52</v>
      </c>
      <c r="E145">
        <f>Raw_Inventory!F145</f>
        <v>43</v>
      </c>
      <c r="F145">
        <f>Raw_Inventory!G145</f>
        <v>12000</v>
      </c>
      <c r="G145">
        <f t="shared" si="6"/>
        <v>9</v>
      </c>
      <c r="H145">
        <f t="shared" si="7"/>
        <v>108000</v>
      </c>
      <c r="I145" t="str">
        <f t="shared" si="8"/>
        <v>Low Stock</v>
      </c>
    </row>
    <row r="146" spans="1:9" x14ac:dyDescent="0.25">
      <c r="A146" t="str">
        <f>Raw_Inventory!A146</f>
        <v>P1145</v>
      </c>
      <c r="B146" t="str">
        <f>Raw_Inventory!B146</f>
        <v>Mouse</v>
      </c>
      <c r="C146" t="str">
        <f>Raw_Inventory!D146</f>
        <v>Asus</v>
      </c>
      <c r="D146">
        <f>Raw_Inventory!E146</f>
        <v>36</v>
      </c>
      <c r="E146">
        <f>Raw_Inventory!F146</f>
        <v>126</v>
      </c>
      <c r="F146">
        <f>Raw_Inventory!G146</f>
        <v>8000</v>
      </c>
      <c r="G146">
        <f t="shared" si="6"/>
        <v>-90</v>
      </c>
      <c r="H146">
        <f t="shared" si="7"/>
        <v>-720000</v>
      </c>
      <c r="I146" t="str">
        <f t="shared" si="8"/>
        <v>Low Stock</v>
      </c>
    </row>
    <row r="147" spans="1:9" x14ac:dyDescent="0.25">
      <c r="A147" t="str">
        <f>Raw_Inventory!A147</f>
        <v>P1146</v>
      </c>
      <c r="B147" t="str">
        <f>Raw_Inventory!B147</f>
        <v>Router</v>
      </c>
      <c r="C147" t="str">
        <f>Raw_Inventory!D147</f>
        <v>Seagate</v>
      </c>
      <c r="D147">
        <f>Raw_Inventory!E147</f>
        <v>101</v>
      </c>
      <c r="E147">
        <f>Raw_Inventory!F147</f>
        <v>52</v>
      </c>
      <c r="F147">
        <f>Raw_Inventory!G147</f>
        <v>30000</v>
      </c>
      <c r="G147">
        <f t="shared" si="6"/>
        <v>49</v>
      </c>
      <c r="H147">
        <f t="shared" si="7"/>
        <v>1470000</v>
      </c>
      <c r="I147" t="str">
        <f t="shared" si="8"/>
        <v>OK</v>
      </c>
    </row>
    <row r="148" spans="1:9" x14ac:dyDescent="0.25">
      <c r="A148" t="str">
        <f>Raw_Inventory!A148</f>
        <v>P1147</v>
      </c>
      <c r="B148" t="str">
        <f>Raw_Inventory!B148</f>
        <v>Headphones</v>
      </c>
      <c r="C148" t="str">
        <f>Raw_Inventory!D148</f>
        <v>Lenovo</v>
      </c>
      <c r="D148">
        <f>Raw_Inventory!E148</f>
        <v>145</v>
      </c>
      <c r="E148">
        <f>Raw_Inventory!F148</f>
        <v>85</v>
      </c>
      <c r="F148">
        <f>Raw_Inventory!G148</f>
        <v>2500</v>
      </c>
      <c r="G148">
        <f t="shared" si="6"/>
        <v>60</v>
      </c>
      <c r="H148">
        <f t="shared" si="7"/>
        <v>150000</v>
      </c>
      <c r="I148" t="str">
        <f t="shared" si="8"/>
        <v>OK</v>
      </c>
    </row>
    <row r="149" spans="1:9" x14ac:dyDescent="0.25">
      <c r="A149" t="str">
        <f>Raw_Inventory!A149</f>
        <v>P1148</v>
      </c>
      <c r="B149" t="str">
        <f>Raw_Inventory!B149</f>
        <v>Monitor</v>
      </c>
      <c r="C149" t="str">
        <f>Raw_Inventory!D149</f>
        <v>Samsung</v>
      </c>
      <c r="D149">
        <f>Raw_Inventory!E149</f>
        <v>73</v>
      </c>
      <c r="E149">
        <f>Raw_Inventory!F149</f>
        <v>131</v>
      </c>
      <c r="F149">
        <f>Raw_Inventory!G149</f>
        <v>5000</v>
      </c>
      <c r="G149">
        <f t="shared" si="6"/>
        <v>-58</v>
      </c>
      <c r="H149">
        <f t="shared" si="7"/>
        <v>-290000</v>
      </c>
      <c r="I149" t="str">
        <f t="shared" si="8"/>
        <v>Low Stock</v>
      </c>
    </row>
    <row r="150" spans="1:9" x14ac:dyDescent="0.25">
      <c r="A150" t="str">
        <f>Raw_Inventory!A150</f>
        <v>P1149</v>
      </c>
      <c r="B150" t="str">
        <f>Raw_Inventory!B150</f>
        <v>Headphones</v>
      </c>
      <c r="C150" t="str">
        <f>Raw_Inventory!D150</f>
        <v>Lenovo</v>
      </c>
      <c r="D150">
        <f>Raw_Inventory!E150</f>
        <v>145</v>
      </c>
      <c r="E150">
        <f>Raw_Inventory!F150</f>
        <v>137</v>
      </c>
      <c r="F150">
        <f>Raw_Inventory!G150</f>
        <v>12000</v>
      </c>
      <c r="G150">
        <f t="shared" si="6"/>
        <v>8</v>
      </c>
      <c r="H150">
        <f t="shared" si="7"/>
        <v>96000</v>
      </c>
      <c r="I150" t="str">
        <f t="shared" si="8"/>
        <v>Low Stock</v>
      </c>
    </row>
    <row r="151" spans="1:9" x14ac:dyDescent="0.25">
      <c r="A151" t="str">
        <f>Raw_Inventory!A151</f>
        <v>P1150</v>
      </c>
      <c r="B151" t="str">
        <f>Raw_Inventory!B151</f>
        <v>Router</v>
      </c>
      <c r="C151" t="str">
        <f>Raw_Inventory!D151</f>
        <v>Lenovo</v>
      </c>
      <c r="D151">
        <f>Raw_Inventory!E151</f>
        <v>103</v>
      </c>
      <c r="E151">
        <f>Raw_Inventory!F151</f>
        <v>146</v>
      </c>
      <c r="F151">
        <f>Raw_Inventory!G151</f>
        <v>800</v>
      </c>
      <c r="G151">
        <f t="shared" si="6"/>
        <v>-43</v>
      </c>
      <c r="H151">
        <f t="shared" si="7"/>
        <v>-34400</v>
      </c>
      <c r="I151" t="str">
        <f t="shared" si="8"/>
        <v>Low Stock</v>
      </c>
    </row>
    <row r="152" spans="1:9" x14ac:dyDescent="0.25">
      <c r="A152" t="str">
        <f>Raw_Inventory!A152</f>
        <v>P1151</v>
      </c>
      <c r="B152" t="str">
        <f>Raw_Inventory!B152</f>
        <v>Monitor</v>
      </c>
      <c r="C152" t="str">
        <f>Raw_Inventory!D152</f>
        <v>Acer</v>
      </c>
      <c r="D152">
        <f>Raw_Inventory!E152</f>
        <v>165</v>
      </c>
      <c r="E152">
        <f>Raw_Inventory!F152</f>
        <v>35</v>
      </c>
      <c r="F152">
        <f>Raw_Inventory!G152</f>
        <v>30000</v>
      </c>
      <c r="G152">
        <f t="shared" si="6"/>
        <v>130</v>
      </c>
      <c r="H152">
        <f t="shared" si="7"/>
        <v>3900000</v>
      </c>
      <c r="I152" t="str">
        <f t="shared" si="8"/>
        <v>OK</v>
      </c>
    </row>
    <row r="153" spans="1:9" x14ac:dyDescent="0.25">
      <c r="A153" t="str">
        <f>Raw_Inventory!A153</f>
        <v>P1152</v>
      </c>
      <c r="B153" t="str">
        <f>Raw_Inventory!B153</f>
        <v>Keyboard</v>
      </c>
      <c r="C153" t="str">
        <f>Raw_Inventory!D153</f>
        <v>Dell</v>
      </c>
      <c r="D153">
        <f>Raw_Inventory!E153</f>
        <v>147</v>
      </c>
      <c r="E153">
        <f>Raw_Inventory!F153</f>
        <v>0</v>
      </c>
      <c r="F153">
        <f>Raw_Inventory!G153</f>
        <v>1500</v>
      </c>
      <c r="G153">
        <f t="shared" si="6"/>
        <v>147</v>
      </c>
      <c r="H153">
        <f t="shared" si="7"/>
        <v>220500</v>
      </c>
      <c r="I153" t="str">
        <f t="shared" si="8"/>
        <v>OK</v>
      </c>
    </row>
    <row r="154" spans="1:9" x14ac:dyDescent="0.25">
      <c r="A154" t="str">
        <f>Raw_Inventory!A154</f>
        <v>P1153</v>
      </c>
      <c r="B154" t="str">
        <f>Raw_Inventory!B154</f>
        <v>Keyboard</v>
      </c>
      <c r="C154" t="str">
        <f>Raw_Inventory!D154</f>
        <v>Samsung</v>
      </c>
      <c r="D154">
        <f>Raw_Inventory!E154</f>
        <v>169</v>
      </c>
      <c r="E154">
        <f>Raw_Inventory!F154</f>
        <v>7</v>
      </c>
      <c r="F154">
        <f>Raw_Inventory!G154</f>
        <v>12000</v>
      </c>
      <c r="G154">
        <f t="shared" si="6"/>
        <v>162</v>
      </c>
      <c r="H154">
        <f t="shared" si="7"/>
        <v>1944000</v>
      </c>
      <c r="I154" t="str">
        <f t="shared" si="8"/>
        <v>OK</v>
      </c>
    </row>
    <row r="155" spans="1:9" x14ac:dyDescent="0.25">
      <c r="A155" t="str">
        <f>Raw_Inventory!A155</f>
        <v>P1154</v>
      </c>
      <c r="B155" t="str">
        <f>Raw_Inventory!B155</f>
        <v>Router</v>
      </c>
      <c r="C155" t="str">
        <f>Raw_Inventory!D155</f>
        <v>Logitech</v>
      </c>
      <c r="D155">
        <f>Raw_Inventory!E155</f>
        <v>97</v>
      </c>
      <c r="E155">
        <f>Raw_Inventory!F155</f>
        <v>13</v>
      </c>
      <c r="F155">
        <f>Raw_Inventory!G155</f>
        <v>500</v>
      </c>
      <c r="G155">
        <f t="shared" si="6"/>
        <v>84</v>
      </c>
      <c r="H155">
        <f t="shared" si="7"/>
        <v>42000</v>
      </c>
      <c r="I155" t="str">
        <f t="shared" si="8"/>
        <v>OK</v>
      </c>
    </row>
    <row r="156" spans="1:9" x14ac:dyDescent="0.25">
      <c r="A156" t="str">
        <f>Raw_Inventory!A156</f>
        <v>P1155</v>
      </c>
      <c r="B156" t="str">
        <f>Raw_Inventory!B156</f>
        <v>Router</v>
      </c>
      <c r="C156" t="str">
        <f>Raw_Inventory!D156</f>
        <v>TP-Link</v>
      </c>
      <c r="D156">
        <f>Raw_Inventory!E156</f>
        <v>24</v>
      </c>
      <c r="E156">
        <f>Raw_Inventory!F156</f>
        <v>33</v>
      </c>
      <c r="F156">
        <f>Raw_Inventory!G156</f>
        <v>5000</v>
      </c>
      <c r="G156">
        <f t="shared" si="6"/>
        <v>-9</v>
      </c>
      <c r="H156">
        <f t="shared" si="7"/>
        <v>-45000</v>
      </c>
      <c r="I156" t="str">
        <f t="shared" si="8"/>
        <v>Low Stock</v>
      </c>
    </row>
    <row r="157" spans="1:9" x14ac:dyDescent="0.25">
      <c r="A157" t="str">
        <f>Raw_Inventory!A157</f>
        <v>P1156</v>
      </c>
      <c r="B157" t="str">
        <f>Raw_Inventory!B157</f>
        <v>Keyboard</v>
      </c>
      <c r="C157" t="str">
        <f>Raw_Inventory!D157</f>
        <v>Canon</v>
      </c>
      <c r="D157">
        <f>Raw_Inventory!E157</f>
        <v>100</v>
      </c>
      <c r="E157">
        <f>Raw_Inventory!F157</f>
        <v>134</v>
      </c>
      <c r="F157">
        <f>Raw_Inventory!G157</f>
        <v>8000</v>
      </c>
      <c r="G157">
        <f t="shared" si="6"/>
        <v>-34</v>
      </c>
      <c r="H157">
        <f t="shared" si="7"/>
        <v>-272000</v>
      </c>
      <c r="I157" t="str">
        <f t="shared" si="8"/>
        <v>Low Stock</v>
      </c>
    </row>
    <row r="158" spans="1:9" x14ac:dyDescent="0.25">
      <c r="A158" t="str">
        <f>Raw_Inventory!A158</f>
        <v>P1157</v>
      </c>
      <c r="B158" t="str">
        <f>Raw_Inventory!B158</f>
        <v>Keyboard</v>
      </c>
      <c r="C158" t="str">
        <f>Raw_Inventory!D158</f>
        <v>Canon</v>
      </c>
      <c r="D158">
        <f>Raw_Inventory!E158</f>
        <v>107</v>
      </c>
      <c r="E158">
        <f>Raw_Inventory!F158</f>
        <v>18</v>
      </c>
      <c r="F158">
        <f>Raw_Inventory!G158</f>
        <v>12000</v>
      </c>
      <c r="G158">
        <f t="shared" si="6"/>
        <v>89</v>
      </c>
      <c r="H158">
        <f t="shared" si="7"/>
        <v>1068000</v>
      </c>
      <c r="I158" t="str">
        <f t="shared" si="8"/>
        <v>OK</v>
      </c>
    </row>
    <row r="159" spans="1:9" x14ac:dyDescent="0.25">
      <c r="A159" t="str">
        <f>Raw_Inventory!A159</f>
        <v>P1158</v>
      </c>
      <c r="B159" t="str">
        <f>Raw_Inventory!B159</f>
        <v>Monitor</v>
      </c>
      <c r="C159" t="str">
        <f>Raw_Inventory!D159</f>
        <v>Samsung</v>
      </c>
      <c r="D159">
        <f>Raw_Inventory!E159</f>
        <v>26</v>
      </c>
      <c r="E159">
        <f>Raw_Inventory!F159</f>
        <v>12</v>
      </c>
      <c r="F159">
        <f>Raw_Inventory!G159</f>
        <v>8000</v>
      </c>
      <c r="G159">
        <f t="shared" si="6"/>
        <v>14</v>
      </c>
      <c r="H159">
        <f t="shared" si="7"/>
        <v>112000</v>
      </c>
      <c r="I159" t="str">
        <f t="shared" si="8"/>
        <v>OK</v>
      </c>
    </row>
    <row r="160" spans="1:9" x14ac:dyDescent="0.25">
      <c r="A160" t="str">
        <f>Raw_Inventory!A160</f>
        <v>P1159</v>
      </c>
      <c r="B160" t="str">
        <f>Raw_Inventory!B160</f>
        <v>Webcam</v>
      </c>
      <c r="C160" t="str">
        <f>Raw_Inventory!D160</f>
        <v>Dell</v>
      </c>
      <c r="D160">
        <f>Raw_Inventory!E160</f>
        <v>27</v>
      </c>
      <c r="E160">
        <f>Raw_Inventory!F160</f>
        <v>4</v>
      </c>
      <c r="F160">
        <f>Raw_Inventory!G160</f>
        <v>800</v>
      </c>
      <c r="G160">
        <f t="shared" si="6"/>
        <v>23</v>
      </c>
      <c r="H160">
        <f t="shared" si="7"/>
        <v>18400</v>
      </c>
      <c r="I160" t="str">
        <f t="shared" si="8"/>
        <v>OK</v>
      </c>
    </row>
    <row r="161" spans="1:9" x14ac:dyDescent="0.25">
      <c r="A161" t="str">
        <f>Raw_Inventory!A161</f>
        <v>P1160</v>
      </c>
      <c r="B161" t="str">
        <f>Raw_Inventory!B161</f>
        <v>Monitor</v>
      </c>
      <c r="C161" t="str">
        <f>Raw_Inventory!D161</f>
        <v>Dell</v>
      </c>
      <c r="D161">
        <f>Raw_Inventory!E161</f>
        <v>22</v>
      </c>
      <c r="E161">
        <f>Raw_Inventory!F161</f>
        <v>77</v>
      </c>
      <c r="F161">
        <f>Raw_Inventory!G161</f>
        <v>30000</v>
      </c>
      <c r="G161">
        <f t="shared" si="6"/>
        <v>-55</v>
      </c>
      <c r="H161">
        <f t="shared" si="7"/>
        <v>-1650000</v>
      </c>
      <c r="I161" t="str">
        <f t="shared" si="8"/>
        <v>Low Stock</v>
      </c>
    </row>
    <row r="162" spans="1:9" x14ac:dyDescent="0.25">
      <c r="A162" t="str">
        <f>Raw_Inventory!A162</f>
        <v>P1161</v>
      </c>
      <c r="B162" t="str">
        <f>Raw_Inventory!B162</f>
        <v>Headphones</v>
      </c>
      <c r="C162" t="str">
        <f>Raw_Inventory!D162</f>
        <v>Seagate</v>
      </c>
      <c r="D162">
        <f>Raw_Inventory!E162</f>
        <v>177</v>
      </c>
      <c r="E162">
        <f>Raw_Inventory!F162</f>
        <v>18</v>
      </c>
      <c r="F162">
        <f>Raw_Inventory!G162</f>
        <v>30000</v>
      </c>
      <c r="G162">
        <f t="shared" si="6"/>
        <v>159</v>
      </c>
      <c r="H162">
        <f t="shared" si="7"/>
        <v>4770000</v>
      </c>
      <c r="I162" t="str">
        <f t="shared" si="8"/>
        <v>OK</v>
      </c>
    </row>
    <row r="163" spans="1:9" x14ac:dyDescent="0.25">
      <c r="A163" t="str">
        <f>Raw_Inventory!A163</f>
        <v>P1162</v>
      </c>
      <c r="B163" t="str">
        <f>Raw_Inventory!B163</f>
        <v>Monitor</v>
      </c>
      <c r="C163" t="str">
        <f>Raw_Inventory!D163</f>
        <v>Acer</v>
      </c>
      <c r="D163">
        <f>Raw_Inventory!E163</f>
        <v>182</v>
      </c>
      <c r="E163">
        <f>Raw_Inventory!F163</f>
        <v>14</v>
      </c>
      <c r="F163">
        <f>Raw_Inventory!G163</f>
        <v>5000</v>
      </c>
      <c r="G163">
        <f t="shared" si="6"/>
        <v>168</v>
      </c>
      <c r="H163">
        <f t="shared" si="7"/>
        <v>840000</v>
      </c>
      <c r="I163" t="str">
        <f t="shared" si="8"/>
        <v>OK</v>
      </c>
    </row>
    <row r="164" spans="1:9" x14ac:dyDescent="0.25">
      <c r="A164" t="str">
        <f>Raw_Inventory!A164</f>
        <v>P1163</v>
      </c>
      <c r="B164" t="str">
        <f>Raw_Inventory!B164</f>
        <v>Headphones</v>
      </c>
      <c r="C164" t="str">
        <f>Raw_Inventory!D164</f>
        <v>HP</v>
      </c>
      <c r="D164">
        <f>Raw_Inventory!E164</f>
        <v>78</v>
      </c>
      <c r="E164">
        <f>Raw_Inventory!F164</f>
        <v>101</v>
      </c>
      <c r="F164">
        <f>Raw_Inventory!G164</f>
        <v>2500</v>
      </c>
      <c r="G164">
        <f t="shared" si="6"/>
        <v>-23</v>
      </c>
      <c r="H164">
        <f t="shared" si="7"/>
        <v>-57500</v>
      </c>
      <c r="I164" t="str">
        <f t="shared" si="8"/>
        <v>Low Stock</v>
      </c>
    </row>
    <row r="165" spans="1:9" x14ac:dyDescent="0.25">
      <c r="A165" t="str">
        <f>Raw_Inventory!A165</f>
        <v>P1164</v>
      </c>
      <c r="B165" t="str">
        <f>Raw_Inventory!B165</f>
        <v>SSD</v>
      </c>
      <c r="C165" t="str">
        <f>Raw_Inventory!D165</f>
        <v>Acer</v>
      </c>
      <c r="D165">
        <f>Raw_Inventory!E165</f>
        <v>52</v>
      </c>
      <c r="E165">
        <f>Raw_Inventory!F165</f>
        <v>115</v>
      </c>
      <c r="F165">
        <f>Raw_Inventory!G165</f>
        <v>2500</v>
      </c>
      <c r="G165">
        <f t="shared" si="6"/>
        <v>-63</v>
      </c>
      <c r="H165">
        <f t="shared" si="7"/>
        <v>-157500</v>
      </c>
      <c r="I165" t="str">
        <f t="shared" si="8"/>
        <v>Low Stock</v>
      </c>
    </row>
    <row r="166" spans="1:9" x14ac:dyDescent="0.25">
      <c r="A166" t="str">
        <f>Raw_Inventory!A166</f>
        <v>P1165</v>
      </c>
      <c r="B166" t="str">
        <f>Raw_Inventory!B166</f>
        <v>Monitor</v>
      </c>
      <c r="C166" t="str">
        <f>Raw_Inventory!D166</f>
        <v>Asus</v>
      </c>
      <c r="D166">
        <f>Raw_Inventory!E166</f>
        <v>170</v>
      </c>
      <c r="E166">
        <f>Raw_Inventory!F166</f>
        <v>115</v>
      </c>
      <c r="F166">
        <f>Raw_Inventory!G166</f>
        <v>1200</v>
      </c>
      <c r="G166">
        <f t="shared" si="6"/>
        <v>55</v>
      </c>
      <c r="H166">
        <f t="shared" si="7"/>
        <v>66000</v>
      </c>
      <c r="I166" t="str">
        <f t="shared" si="8"/>
        <v>OK</v>
      </c>
    </row>
    <row r="167" spans="1:9" x14ac:dyDescent="0.25">
      <c r="A167" t="str">
        <f>Raw_Inventory!A167</f>
        <v>P1166</v>
      </c>
      <c r="B167" t="str">
        <f>Raw_Inventory!B167</f>
        <v>Tablet</v>
      </c>
      <c r="C167" t="str">
        <f>Raw_Inventory!D167</f>
        <v>Asus</v>
      </c>
      <c r="D167">
        <f>Raw_Inventory!E167</f>
        <v>108</v>
      </c>
      <c r="E167">
        <f>Raw_Inventory!F167</f>
        <v>95</v>
      </c>
      <c r="F167">
        <f>Raw_Inventory!G167</f>
        <v>800</v>
      </c>
      <c r="G167">
        <f t="shared" si="6"/>
        <v>13</v>
      </c>
      <c r="H167">
        <f t="shared" si="7"/>
        <v>10400</v>
      </c>
      <c r="I167" t="str">
        <f t="shared" si="8"/>
        <v>OK</v>
      </c>
    </row>
    <row r="168" spans="1:9" x14ac:dyDescent="0.25">
      <c r="A168" t="str">
        <f>Raw_Inventory!A168</f>
        <v>P1167</v>
      </c>
      <c r="B168" t="str">
        <f>Raw_Inventory!B168</f>
        <v>Monitor</v>
      </c>
      <c r="C168" t="str">
        <f>Raw_Inventory!D168</f>
        <v>Canon</v>
      </c>
      <c r="D168">
        <f>Raw_Inventory!E168</f>
        <v>126</v>
      </c>
      <c r="E168">
        <f>Raw_Inventory!F168</f>
        <v>37</v>
      </c>
      <c r="F168">
        <f>Raw_Inventory!G168</f>
        <v>55000</v>
      </c>
      <c r="G168">
        <f t="shared" si="6"/>
        <v>89</v>
      </c>
      <c r="H168">
        <f t="shared" si="7"/>
        <v>4895000</v>
      </c>
      <c r="I168" t="str">
        <f t="shared" si="8"/>
        <v>OK</v>
      </c>
    </row>
    <row r="169" spans="1:9" x14ac:dyDescent="0.25">
      <c r="A169" t="str">
        <f>Raw_Inventory!A169</f>
        <v>P1168</v>
      </c>
      <c r="B169" t="str">
        <f>Raw_Inventory!B169</f>
        <v>Monitor</v>
      </c>
      <c r="C169" t="str">
        <f>Raw_Inventory!D169</f>
        <v>Seagate</v>
      </c>
      <c r="D169">
        <f>Raw_Inventory!E169</f>
        <v>75</v>
      </c>
      <c r="E169">
        <f>Raw_Inventory!F169</f>
        <v>150</v>
      </c>
      <c r="F169">
        <f>Raw_Inventory!G169</f>
        <v>500</v>
      </c>
      <c r="G169">
        <f t="shared" si="6"/>
        <v>-75</v>
      </c>
      <c r="H169">
        <f t="shared" si="7"/>
        <v>-37500</v>
      </c>
      <c r="I169" t="str">
        <f t="shared" si="8"/>
        <v>Low Stock</v>
      </c>
    </row>
    <row r="170" spans="1:9" x14ac:dyDescent="0.25">
      <c r="A170" t="str">
        <f>Raw_Inventory!A170</f>
        <v>P1169</v>
      </c>
      <c r="B170" t="str">
        <f>Raw_Inventory!B170</f>
        <v>Monitor</v>
      </c>
      <c r="C170" t="str">
        <f>Raw_Inventory!D170</f>
        <v>Asus</v>
      </c>
      <c r="D170">
        <f>Raw_Inventory!E170</f>
        <v>180</v>
      </c>
      <c r="E170">
        <f>Raw_Inventory!F170</f>
        <v>149</v>
      </c>
      <c r="F170">
        <f>Raw_Inventory!G170</f>
        <v>2500</v>
      </c>
      <c r="G170">
        <f t="shared" si="6"/>
        <v>31</v>
      </c>
      <c r="H170">
        <f t="shared" si="7"/>
        <v>77500</v>
      </c>
      <c r="I170" t="str">
        <f t="shared" si="8"/>
        <v>OK</v>
      </c>
    </row>
    <row r="171" spans="1:9" x14ac:dyDescent="0.25">
      <c r="A171" t="str">
        <f>Raw_Inventory!A171</f>
        <v>P1170</v>
      </c>
      <c r="B171" t="str">
        <f>Raw_Inventory!B171</f>
        <v>SSD</v>
      </c>
      <c r="C171" t="str">
        <f>Raw_Inventory!D171</f>
        <v>Seagate</v>
      </c>
      <c r="D171">
        <f>Raw_Inventory!E171</f>
        <v>194</v>
      </c>
      <c r="E171">
        <f>Raw_Inventory!F171</f>
        <v>124</v>
      </c>
      <c r="F171">
        <f>Raw_Inventory!G171</f>
        <v>8000</v>
      </c>
      <c r="G171">
        <f t="shared" si="6"/>
        <v>70</v>
      </c>
      <c r="H171">
        <f t="shared" si="7"/>
        <v>560000</v>
      </c>
      <c r="I171" t="str">
        <f t="shared" si="8"/>
        <v>OK</v>
      </c>
    </row>
    <row r="172" spans="1:9" x14ac:dyDescent="0.25">
      <c r="A172" t="str">
        <f>Raw_Inventory!A172</f>
        <v>P1171</v>
      </c>
      <c r="B172" t="str">
        <f>Raw_Inventory!B172</f>
        <v>Monitor</v>
      </c>
      <c r="C172" t="str">
        <f>Raw_Inventory!D172</f>
        <v>Asus</v>
      </c>
      <c r="D172">
        <f>Raw_Inventory!E172</f>
        <v>196</v>
      </c>
      <c r="E172">
        <f>Raw_Inventory!F172</f>
        <v>28</v>
      </c>
      <c r="F172">
        <f>Raw_Inventory!G172</f>
        <v>55000</v>
      </c>
      <c r="G172">
        <f t="shared" si="6"/>
        <v>168</v>
      </c>
      <c r="H172">
        <f t="shared" si="7"/>
        <v>9240000</v>
      </c>
      <c r="I172" t="str">
        <f t="shared" si="8"/>
        <v>OK</v>
      </c>
    </row>
    <row r="173" spans="1:9" x14ac:dyDescent="0.25">
      <c r="A173" t="str">
        <f>Raw_Inventory!A173</f>
        <v>P1172</v>
      </c>
      <c r="B173" t="str">
        <f>Raw_Inventory!B173</f>
        <v>Laptop</v>
      </c>
      <c r="C173" t="str">
        <f>Raw_Inventory!D173</f>
        <v>Seagate</v>
      </c>
      <c r="D173">
        <f>Raw_Inventory!E173</f>
        <v>135</v>
      </c>
      <c r="E173">
        <f>Raw_Inventory!F173</f>
        <v>89</v>
      </c>
      <c r="F173">
        <f>Raw_Inventory!G173</f>
        <v>8000</v>
      </c>
      <c r="G173">
        <f t="shared" si="6"/>
        <v>46</v>
      </c>
      <c r="H173">
        <f t="shared" si="7"/>
        <v>368000</v>
      </c>
      <c r="I173" t="str">
        <f t="shared" si="8"/>
        <v>OK</v>
      </c>
    </row>
    <row r="174" spans="1:9" x14ac:dyDescent="0.25">
      <c r="A174" t="str">
        <f>Raw_Inventory!A174</f>
        <v>P1173</v>
      </c>
      <c r="B174" t="str">
        <f>Raw_Inventory!B174</f>
        <v>Keyboard</v>
      </c>
      <c r="C174" t="str">
        <f>Raw_Inventory!D174</f>
        <v>Dell</v>
      </c>
      <c r="D174">
        <f>Raw_Inventory!E174</f>
        <v>155</v>
      </c>
      <c r="E174">
        <f>Raw_Inventory!F174</f>
        <v>141</v>
      </c>
      <c r="F174">
        <f>Raw_Inventory!G174</f>
        <v>12000</v>
      </c>
      <c r="G174">
        <f t="shared" si="6"/>
        <v>14</v>
      </c>
      <c r="H174">
        <f t="shared" si="7"/>
        <v>168000</v>
      </c>
      <c r="I174" t="str">
        <f t="shared" si="8"/>
        <v>OK</v>
      </c>
    </row>
    <row r="175" spans="1:9" x14ac:dyDescent="0.25">
      <c r="A175" t="str">
        <f>Raw_Inventory!A175</f>
        <v>P1174</v>
      </c>
      <c r="B175" t="str">
        <f>Raw_Inventory!B175</f>
        <v>Webcam</v>
      </c>
      <c r="C175" t="str">
        <f>Raw_Inventory!D175</f>
        <v>Seagate</v>
      </c>
      <c r="D175">
        <f>Raw_Inventory!E175</f>
        <v>162</v>
      </c>
      <c r="E175">
        <f>Raw_Inventory!F175</f>
        <v>148</v>
      </c>
      <c r="F175">
        <f>Raw_Inventory!G175</f>
        <v>5000</v>
      </c>
      <c r="G175">
        <f t="shared" si="6"/>
        <v>14</v>
      </c>
      <c r="H175">
        <f t="shared" si="7"/>
        <v>70000</v>
      </c>
      <c r="I175" t="str">
        <f t="shared" si="8"/>
        <v>OK</v>
      </c>
    </row>
    <row r="176" spans="1:9" x14ac:dyDescent="0.25">
      <c r="A176" t="str">
        <f>Raw_Inventory!A176</f>
        <v>P1175</v>
      </c>
      <c r="B176" t="str">
        <f>Raw_Inventory!B176</f>
        <v>Mouse</v>
      </c>
      <c r="C176" t="str">
        <f>Raw_Inventory!D176</f>
        <v>HP</v>
      </c>
      <c r="D176">
        <f>Raw_Inventory!E176</f>
        <v>89</v>
      </c>
      <c r="E176">
        <f>Raw_Inventory!F176</f>
        <v>96</v>
      </c>
      <c r="F176">
        <f>Raw_Inventory!G176</f>
        <v>55000</v>
      </c>
      <c r="G176">
        <f t="shared" si="6"/>
        <v>-7</v>
      </c>
      <c r="H176">
        <f t="shared" si="7"/>
        <v>-385000</v>
      </c>
      <c r="I176" t="str">
        <f t="shared" si="8"/>
        <v>Low Stock</v>
      </c>
    </row>
    <row r="177" spans="1:9" x14ac:dyDescent="0.25">
      <c r="A177" t="str">
        <f>Raw_Inventory!A177</f>
        <v>P1176</v>
      </c>
      <c r="B177" t="str">
        <f>Raw_Inventory!B177</f>
        <v>Keyboard</v>
      </c>
      <c r="C177" t="str">
        <f>Raw_Inventory!D177</f>
        <v>Lenovo</v>
      </c>
      <c r="D177">
        <f>Raw_Inventory!E177</f>
        <v>196</v>
      </c>
      <c r="E177">
        <f>Raw_Inventory!F177</f>
        <v>135</v>
      </c>
      <c r="F177">
        <f>Raw_Inventory!G177</f>
        <v>1500</v>
      </c>
      <c r="G177">
        <f t="shared" si="6"/>
        <v>61</v>
      </c>
      <c r="H177">
        <f t="shared" si="7"/>
        <v>91500</v>
      </c>
      <c r="I177" t="str">
        <f t="shared" si="8"/>
        <v>OK</v>
      </c>
    </row>
    <row r="178" spans="1:9" x14ac:dyDescent="0.25">
      <c r="A178" t="str">
        <f>Raw_Inventory!A178</f>
        <v>P1177</v>
      </c>
      <c r="B178" t="str">
        <f>Raw_Inventory!B178</f>
        <v>Keyboard</v>
      </c>
      <c r="C178" t="str">
        <f>Raw_Inventory!D178</f>
        <v>Seagate</v>
      </c>
      <c r="D178">
        <f>Raw_Inventory!E178</f>
        <v>48</v>
      </c>
      <c r="E178">
        <f>Raw_Inventory!F178</f>
        <v>124</v>
      </c>
      <c r="F178">
        <f>Raw_Inventory!G178</f>
        <v>800</v>
      </c>
      <c r="G178">
        <f t="shared" si="6"/>
        <v>-76</v>
      </c>
      <c r="H178">
        <f t="shared" si="7"/>
        <v>-60800</v>
      </c>
      <c r="I178" t="str">
        <f t="shared" si="8"/>
        <v>Low Stock</v>
      </c>
    </row>
    <row r="179" spans="1:9" x14ac:dyDescent="0.25">
      <c r="A179" t="str">
        <f>Raw_Inventory!A179</f>
        <v>P1178</v>
      </c>
      <c r="B179" t="str">
        <f>Raw_Inventory!B179</f>
        <v>SSD</v>
      </c>
      <c r="C179" t="str">
        <f>Raw_Inventory!D179</f>
        <v>TP-Link</v>
      </c>
      <c r="D179">
        <f>Raw_Inventory!E179</f>
        <v>133</v>
      </c>
      <c r="E179">
        <f>Raw_Inventory!F179</f>
        <v>97</v>
      </c>
      <c r="F179">
        <f>Raw_Inventory!G179</f>
        <v>30000</v>
      </c>
      <c r="G179">
        <f t="shared" si="6"/>
        <v>36</v>
      </c>
      <c r="H179">
        <f t="shared" si="7"/>
        <v>1080000</v>
      </c>
      <c r="I179" t="str">
        <f t="shared" si="8"/>
        <v>OK</v>
      </c>
    </row>
    <row r="180" spans="1:9" x14ac:dyDescent="0.25">
      <c r="A180" t="str">
        <f>Raw_Inventory!A180</f>
        <v>P1179</v>
      </c>
      <c r="B180" t="str">
        <f>Raw_Inventory!B180</f>
        <v>SSD</v>
      </c>
      <c r="C180" t="str">
        <f>Raw_Inventory!D180</f>
        <v>Lenovo</v>
      </c>
      <c r="D180">
        <f>Raw_Inventory!E180</f>
        <v>112</v>
      </c>
      <c r="E180">
        <f>Raw_Inventory!F180</f>
        <v>23</v>
      </c>
      <c r="F180">
        <f>Raw_Inventory!G180</f>
        <v>30000</v>
      </c>
      <c r="G180">
        <f t="shared" si="6"/>
        <v>89</v>
      </c>
      <c r="H180">
        <f t="shared" si="7"/>
        <v>2670000</v>
      </c>
      <c r="I180" t="str">
        <f t="shared" si="8"/>
        <v>OK</v>
      </c>
    </row>
    <row r="181" spans="1:9" x14ac:dyDescent="0.25">
      <c r="A181" t="str">
        <f>Raw_Inventory!A181</f>
        <v>P1180</v>
      </c>
      <c r="B181" t="str">
        <f>Raw_Inventory!B181</f>
        <v>Webcam</v>
      </c>
      <c r="C181" t="str">
        <f>Raw_Inventory!D181</f>
        <v>Seagate</v>
      </c>
      <c r="D181">
        <f>Raw_Inventory!E181</f>
        <v>193</v>
      </c>
      <c r="E181">
        <f>Raw_Inventory!F181</f>
        <v>133</v>
      </c>
      <c r="F181">
        <f>Raw_Inventory!G181</f>
        <v>500</v>
      </c>
      <c r="G181">
        <f t="shared" si="6"/>
        <v>60</v>
      </c>
      <c r="H181">
        <f t="shared" si="7"/>
        <v>30000</v>
      </c>
      <c r="I181" t="str">
        <f t="shared" si="8"/>
        <v>OK</v>
      </c>
    </row>
    <row r="182" spans="1:9" x14ac:dyDescent="0.25">
      <c r="A182" t="str">
        <f>Raw_Inventory!A182</f>
        <v>P1181</v>
      </c>
      <c r="B182" t="str">
        <f>Raw_Inventory!B182</f>
        <v>Keyboard</v>
      </c>
      <c r="C182" t="str">
        <f>Raw_Inventory!D182</f>
        <v>Samsung</v>
      </c>
      <c r="D182">
        <f>Raw_Inventory!E182</f>
        <v>89</v>
      </c>
      <c r="E182">
        <f>Raw_Inventory!F182</f>
        <v>90</v>
      </c>
      <c r="F182">
        <f>Raw_Inventory!G182</f>
        <v>30000</v>
      </c>
      <c r="G182">
        <f t="shared" si="6"/>
        <v>-1</v>
      </c>
      <c r="H182">
        <f t="shared" si="7"/>
        <v>-30000</v>
      </c>
      <c r="I182" t="str">
        <f t="shared" si="8"/>
        <v>Low Stock</v>
      </c>
    </row>
    <row r="183" spans="1:9" x14ac:dyDescent="0.25">
      <c r="A183" t="str">
        <f>Raw_Inventory!A183</f>
        <v>P1182</v>
      </c>
      <c r="B183" t="str">
        <f>Raw_Inventory!B183</f>
        <v>Mouse</v>
      </c>
      <c r="C183" t="str">
        <f>Raw_Inventory!D183</f>
        <v>HP</v>
      </c>
      <c r="D183">
        <f>Raw_Inventory!E183</f>
        <v>121</v>
      </c>
      <c r="E183">
        <f>Raw_Inventory!F183</f>
        <v>140</v>
      </c>
      <c r="F183">
        <f>Raw_Inventory!G183</f>
        <v>2500</v>
      </c>
      <c r="G183">
        <f t="shared" si="6"/>
        <v>-19</v>
      </c>
      <c r="H183">
        <f t="shared" si="7"/>
        <v>-47500</v>
      </c>
      <c r="I183" t="str">
        <f t="shared" si="8"/>
        <v>Low Stock</v>
      </c>
    </row>
    <row r="184" spans="1:9" x14ac:dyDescent="0.25">
      <c r="A184" t="str">
        <f>Raw_Inventory!A184</f>
        <v>P1183</v>
      </c>
      <c r="B184" t="str">
        <f>Raw_Inventory!B184</f>
        <v>Webcam</v>
      </c>
      <c r="C184" t="str">
        <f>Raw_Inventory!D184</f>
        <v>Canon</v>
      </c>
      <c r="D184">
        <f>Raw_Inventory!E184</f>
        <v>142</v>
      </c>
      <c r="E184">
        <f>Raw_Inventory!F184</f>
        <v>31</v>
      </c>
      <c r="F184">
        <f>Raw_Inventory!G184</f>
        <v>1500</v>
      </c>
      <c r="G184">
        <f t="shared" si="6"/>
        <v>111</v>
      </c>
      <c r="H184">
        <f t="shared" si="7"/>
        <v>166500</v>
      </c>
      <c r="I184" t="str">
        <f t="shared" si="8"/>
        <v>OK</v>
      </c>
    </row>
    <row r="185" spans="1:9" x14ac:dyDescent="0.25">
      <c r="A185" t="str">
        <f>Raw_Inventory!A185</f>
        <v>P1184</v>
      </c>
      <c r="B185" t="str">
        <f>Raw_Inventory!B185</f>
        <v>Printer</v>
      </c>
      <c r="C185" t="str">
        <f>Raw_Inventory!D185</f>
        <v>Canon</v>
      </c>
      <c r="D185">
        <f>Raw_Inventory!E185</f>
        <v>129</v>
      </c>
      <c r="E185">
        <f>Raw_Inventory!F185</f>
        <v>80</v>
      </c>
      <c r="F185">
        <f>Raw_Inventory!G185</f>
        <v>500</v>
      </c>
      <c r="G185">
        <f t="shared" si="6"/>
        <v>49</v>
      </c>
      <c r="H185">
        <f t="shared" si="7"/>
        <v>24500</v>
      </c>
      <c r="I185" t="str">
        <f t="shared" si="8"/>
        <v>OK</v>
      </c>
    </row>
    <row r="186" spans="1:9" x14ac:dyDescent="0.25">
      <c r="A186" t="str">
        <f>Raw_Inventory!A186</f>
        <v>P1185</v>
      </c>
      <c r="B186" t="str">
        <f>Raw_Inventory!B186</f>
        <v>Webcam</v>
      </c>
      <c r="C186" t="str">
        <f>Raw_Inventory!D186</f>
        <v>Samsung</v>
      </c>
      <c r="D186">
        <f>Raw_Inventory!E186</f>
        <v>70</v>
      </c>
      <c r="E186">
        <f>Raw_Inventory!F186</f>
        <v>13</v>
      </c>
      <c r="F186">
        <f>Raw_Inventory!G186</f>
        <v>1200</v>
      </c>
      <c r="G186">
        <f t="shared" si="6"/>
        <v>57</v>
      </c>
      <c r="H186">
        <f t="shared" si="7"/>
        <v>68400</v>
      </c>
      <c r="I186" t="str">
        <f t="shared" si="8"/>
        <v>OK</v>
      </c>
    </row>
    <row r="187" spans="1:9" x14ac:dyDescent="0.25">
      <c r="A187" t="str">
        <f>Raw_Inventory!A187</f>
        <v>P1186</v>
      </c>
      <c r="B187" t="str">
        <f>Raw_Inventory!B187</f>
        <v>Mouse</v>
      </c>
      <c r="C187" t="str">
        <f>Raw_Inventory!D187</f>
        <v>Asus</v>
      </c>
      <c r="D187">
        <f>Raw_Inventory!E187</f>
        <v>184</v>
      </c>
      <c r="E187">
        <f>Raw_Inventory!F187</f>
        <v>144</v>
      </c>
      <c r="F187">
        <f>Raw_Inventory!G187</f>
        <v>800</v>
      </c>
      <c r="G187">
        <f t="shared" si="6"/>
        <v>40</v>
      </c>
      <c r="H187">
        <f t="shared" si="7"/>
        <v>32000</v>
      </c>
      <c r="I187" t="str">
        <f t="shared" si="8"/>
        <v>OK</v>
      </c>
    </row>
    <row r="188" spans="1:9" x14ac:dyDescent="0.25">
      <c r="A188" t="str">
        <f>Raw_Inventory!A188</f>
        <v>P1187</v>
      </c>
      <c r="B188" t="str">
        <f>Raw_Inventory!B188</f>
        <v>Monitor</v>
      </c>
      <c r="C188" t="str">
        <f>Raw_Inventory!D188</f>
        <v>Samsung</v>
      </c>
      <c r="D188">
        <f>Raw_Inventory!E188</f>
        <v>174</v>
      </c>
      <c r="E188">
        <f>Raw_Inventory!F188</f>
        <v>88</v>
      </c>
      <c r="F188">
        <f>Raw_Inventory!G188</f>
        <v>2500</v>
      </c>
      <c r="G188">
        <f t="shared" si="6"/>
        <v>86</v>
      </c>
      <c r="H188">
        <f t="shared" si="7"/>
        <v>215000</v>
      </c>
      <c r="I188" t="str">
        <f t="shared" si="8"/>
        <v>OK</v>
      </c>
    </row>
    <row r="189" spans="1:9" x14ac:dyDescent="0.25">
      <c r="A189" t="str">
        <f>Raw_Inventory!A189</f>
        <v>P1188</v>
      </c>
      <c r="B189" t="str">
        <f>Raw_Inventory!B189</f>
        <v>Tablet</v>
      </c>
      <c r="C189" t="str">
        <f>Raw_Inventory!D189</f>
        <v>Lenovo</v>
      </c>
      <c r="D189">
        <f>Raw_Inventory!E189</f>
        <v>48</v>
      </c>
      <c r="E189">
        <f>Raw_Inventory!F189</f>
        <v>63</v>
      </c>
      <c r="F189">
        <f>Raw_Inventory!G189</f>
        <v>500</v>
      </c>
      <c r="G189">
        <f t="shared" si="6"/>
        <v>-15</v>
      </c>
      <c r="H189">
        <f t="shared" si="7"/>
        <v>-7500</v>
      </c>
      <c r="I189" t="str">
        <f t="shared" si="8"/>
        <v>Low Stock</v>
      </c>
    </row>
    <row r="190" spans="1:9" x14ac:dyDescent="0.25">
      <c r="A190" t="str">
        <f>Raw_Inventory!A190</f>
        <v>P1189</v>
      </c>
      <c r="B190" t="str">
        <f>Raw_Inventory!B190</f>
        <v>Router</v>
      </c>
      <c r="C190" t="str">
        <f>Raw_Inventory!D190</f>
        <v>HP</v>
      </c>
      <c r="D190">
        <f>Raw_Inventory!E190</f>
        <v>76</v>
      </c>
      <c r="E190">
        <f>Raw_Inventory!F190</f>
        <v>150</v>
      </c>
      <c r="F190">
        <f>Raw_Inventory!G190</f>
        <v>800</v>
      </c>
      <c r="G190">
        <f t="shared" si="6"/>
        <v>-74</v>
      </c>
      <c r="H190">
        <f t="shared" si="7"/>
        <v>-59200</v>
      </c>
      <c r="I190" t="str">
        <f t="shared" si="8"/>
        <v>Low Stock</v>
      </c>
    </row>
    <row r="191" spans="1:9" x14ac:dyDescent="0.25">
      <c r="A191" t="str">
        <f>Raw_Inventory!A191</f>
        <v>P1190</v>
      </c>
      <c r="B191" t="str">
        <f>Raw_Inventory!B191</f>
        <v>Webcam</v>
      </c>
      <c r="C191" t="str">
        <f>Raw_Inventory!D191</f>
        <v>HP</v>
      </c>
      <c r="D191">
        <f>Raw_Inventory!E191</f>
        <v>61</v>
      </c>
      <c r="E191">
        <f>Raw_Inventory!F191</f>
        <v>49</v>
      </c>
      <c r="F191">
        <f>Raw_Inventory!G191</f>
        <v>30000</v>
      </c>
      <c r="G191">
        <f t="shared" si="6"/>
        <v>12</v>
      </c>
      <c r="H191">
        <f t="shared" si="7"/>
        <v>360000</v>
      </c>
      <c r="I191" t="str">
        <f t="shared" si="8"/>
        <v>OK</v>
      </c>
    </row>
    <row r="192" spans="1:9" x14ac:dyDescent="0.25">
      <c r="A192" t="str">
        <f>Raw_Inventory!A192</f>
        <v>P1191</v>
      </c>
      <c r="B192" t="str">
        <f>Raw_Inventory!B192</f>
        <v>Tablet</v>
      </c>
      <c r="C192" t="str">
        <f>Raw_Inventory!D192</f>
        <v>Lenovo</v>
      </c>
      <c r="D192">
        <f>Raw_Inventory!E192</f>
        <v>170</v>
      </c>
      <c r="E192">
        <f>Raw_Inventory!F192</f>
        <v>130</v>
      </c>
      <c r="F192">
        <f>Raw_Inventory!G192</f>
        <v>1200</v>
      </c>
      <c r="G192">
        <f t="shared" si="6"/>
        <v>40</v>
      </c>
      <c r="H192">
        <f t="shared" si="7"/>
        <v>48000</v>
      </c>
      <c r="I192" t="str">
        <f t="shared" si="8"/>
        <v>OK</v>
      </c>
    </row>
    <row r="193" spans="1:9" x14ac:dyDescent="0.25">
      <c r="A193" t="str">
        <f>Raw_Inventory!A193</f>
        <v>P1192</v>
      </c>
      <c r="B193" t="str">
        <f>Raw_Inventory!B193</f>
        <v>Monitor</v>
      </c>
      <c r="C193" t="str">
        <f>Raw_Inventory!D193</f>
        <v>Seagate</v>
      </c>
      <c r="D193">
        <f>Raw_Inventory!E193</f>
        <v>36</v>
      </c>
      <c r="E193">
        <f>Raw_Inventory!F193</f>
        <v>90</v>
      </c>
      <c r="F193">
        <f>Raw_Inventory!G193</f>
        <v>8000</v>
      </c>
      <c r="G193">
        <f t="shared" si="6"/>
        <v>-54</v>
      </c>
      <c r="H193">
        <f t="shared" si="7"/>
        <v>-432000</v>
      </c>
      <c r="I193" t="str">
        <f t="shared" si="8"/>
        <v>Low Stock</v>
      </c>
    </row>
    <row r="194" spans="1:9" x14ac:dyDescent="0.25">
      <c r="A194" t="str">
        <f>Raw_Inventory!A194</f>
        <v>P1193</v>
      </c>
      <c r="B194" t="str">
        <f>Raw_Inventory!B194</f>
        <v>Headphones</v>
      </c>
      <c r="C194" t="str">
        <f>Raw_Inventory!D194</f>
        <v>Dell</v>
      </c>
      <c r="D194">
        <f>Raw_Inventory!E194</f>
        <v>62</v>
      </c>
      <c r="E194">
        <f>Raw_Inventory!F194</f>
        <v>25</v>
      </c>
      <c r="F194">
        <f>Raw_Inventory!G194</f>
        <v>5000</v>
      </c>
      <c r="G194">
        <f t="shared" si="6"/>
        <v>37</v>
      </c>
      <c r="H194">
        <f t="shared" si="7"/>
        <v>185000</v>
      </c>
      <c r="I194" t="str">
        <f t="shared" si="8"/>
        <v>OK</v>
      </c>
    </row>
    <row r="195" spans="1:9" x14ac:dyDescent="0.25">
      <c r="A195" t="str">
        <f>Raw_Inventory!A195</f>
        <v>P1194</v>
      </c>
      <c r="B195" t="str">
        <f>Raw_Inventory!B195</f>
        <v>Mouse</v>
      </c>
      <c r="C195" t="str">
        <f>Raw_Inventory!D195</f>
        <v>HP</v>
      </c>
      <c r="D195">
        <f>Raw_Inventory!E195</f>
        <v>70</v>
      </c>
      <c r="E195">
        <f>Raw_Inventory!F195</f>
        <v>40</v>
      </c>
      <c r="F195">
        <f>Raw_Inventory!G195</f>
        <v>500</v>
      </c>
      <c r="G195">
        <f t="shared" ref="G195:G258" si="9" xml:space="preserve"> D195 - E195</f>
        <v>30</v>
      </c>
      <c r="H195">
        <f t="shared" ref="H195:H258" si="10" xml:space="preserve"> G195 * F195</f>
        <v>15000</v>
      </c>
      <c r="I195" t="str">
        <f t="shared" ref="I195:I258" si="11">IF(G195&lt;10,"Low Stock","OK")</f>
        <v>OK</v>
      </c>
    </row>
    <row r="196" spans="1:9" x14ac:dyDescent="0.25">
      <c r="A196" t="str">
        <f>Raw_Inventory!A196</f>
        <v>P1195</v>
      </c>
      <c r="B196" t="str">
        <f>Raw_Inventory!B196</f>
        <v>Router</v>
      </c>
      <c r="C196" t="str">
        <f>Raw_Inventory!D196</f>
        <v>Samsung</v>
      </c>
      <c r="D196">
        <f>Raw_Inventory!E196</f>
        <v>82</v>
      </c>
      <c r="E196">
        <f>Raw_Inventory!F196</f>
        <v>35</v>
      </c>
      <c r="F196">
        <f>Raw_Inventory!G196</f>
        <v>1200</v>
      </c>
      <c r="G196">
        <f t="shared" si="9"/>
        <v>47</v>
      </c>
      <c r="H196">
        <f t="shared" si="10"/>
        <v>56400</v>
      </c>
      <c r="I196" t="str">
        <f t="shared" si="11"/>
        <v>OK</v>
      </c>
    </row>
    <row r="197" spans="1:9" x14ac:dyDescent="0.25">
      <c r="A197" t="str">
        <f>Raw_Inventory!A197</f>
        <v>P1196</v>
      </c>
      <c r="B197" t="str">
        <f>Raw_Inventory!B197</f>
        <v>Keyboard</v>
      </c>
      <c r="C197" t="str">
        <f>Raw_Inventory!D197</f>
        <v>TP-Link</v>
      </c>
      <c r="D197">
        <f>Raw_Inventory!E197</f>
        <v>164</v>
      </c>
      <c r="E197">
        <f>Raw_Inventory!F197</f>
        <v>28</v>
      </c>
      <c r="F197">
        <f>Raw_Inventory!G197</f>
        <v>30000</v>
      </c>
      <c r="G197">
        <f t="shared" si="9"/>
        <v>136</v>
      </c>
      <c r="H197">
        <f t="shared" si="10"/>
        <v>4080000</v>
      </c>
      <c r="I197" t="str">
        <f t="shared" si="11"/>
        <v>OK</v>
      </c>
    </row>
    <row r="198" spans="1:9" x14ac:dyDescent="0.25">
      <c r="A198" t="str">
        <f>Raw_Inventory!A198</f>
        <v>P1197</v>
      </c>
      <c r="B198" t="str">
        <f>Raw_Inventory!B198</f>
        <v>Mouse</v>
      </c>
      <c r="C198" t="str">
        <f>Raw_Inventory!D198</f>
        <v>Canon</v>
      </c>
      <c r="D198">
        <f>Raw_Inventory!E198</f>
        <v>193</v>
      </c>
      <c r="E198">
        <f>Raw_Inventory!F198</f>
        <v>111</v>
      </c>
      <c r="F198">
        <f>Raw_Inventory!G198</f>
        <v>5000</v>
      </c>
      <c r="G198">
        <f t="shared" si="9"/>
        <v>82</v>
      </c>
      <c r="H198">
        <f t="shared" si="10"/>
        <v>410000</v>
      </c>
      <c r="I198" t="str">
        <f t="shared" si="11"/>
        <v>OK</v>
      </c>
    </row>
    <row r="199" spans="1:9" x14ac:dyDescent="0.25">
      <c r="A199" t="str">
        <f>Raw_Inventory!A199</f>
        <v>P1198</v>
      </c>
      <c r="B199" t="str">
        <f>Raw_Inventory!B199</f>
        <v>Keyboard</v>
      </c>
      <c r="C199" t="str">
        <f>Raw_Inventory!D199</f>
        <v>Logitech</v>
      </c>
      <c r="D199">
        <f>Raw_Inventory!E199</f>
        <v>62</v>
      </c>
      <c r="E199">
        <f>Raw_Inventory!F199</f>
        <v>5</v>
      </c>
      <c r="F199">
        <f>Raw_Inventory!G199</f>
        <v>1200</v>
      </c>
      <c r="G199">
        <f t="shared" si="9"/>
        <v>57</v>
      </c>
      <c r="H199">
        <f t="shared" si="10"/>
        <v>68400</v>
      </c>
      <c r="I199" t="str">
        <f t="shared" si="11"/>
        <v>OK</v>
      </c>
    </row>
    <row r="200" spans="1:9" x14ac:dyDescent="0.25">
      <c r="A200" t="str">
        <f>Raw_Inventory!A200</f>
        <v>P1199</v>
      </c>
      <c r="B200" t="str">
        <f>Raw_Inventory!B200</f>
        <v>Tablet</v>
      </c>
      <c r="C200" t="str">
        <f>Raw_Inventory!D200</f>
        <v>Canon</v>
      </c>
      <c r="D200">
        <f>Raw_Inventory!E200</f>
        <v>123</v>
      </c>
      <c r="E200">
        <f>Raw_Inventory!F200</f>
        <v>79</v>
      </c>
      <c r="F200">
        <f>Raw_Inventory!G200</f>
        <v>2500</v>
      </c>
      <c r="G200">
        <f t="shared" si="9"/>
        <v>44</v>
      </c>
      <c r="H200">
        <f t="shared" si="10"/>
        <v>110000</v>
      </c>
      <c r="I200" t="str">
        <f t="shared" si="11"/>
        <v>OK</v>
      </c>
    </row>
    <row r="201" spans="1:9" x14ac:dyDescent="0.25">
      <c r="A201" t="str">
        <f>Raw_Inventory!A201</f>
        <v>P1200</v>
      </c>
      <c r="B201" t="str">
        <f>Raw_Inventory!B201</f>
        <v>Headphones</v>
      </c>
      <c r="C201" t="str">
        <f>Raw_Inventory!D201</f>
        <v>Canon</v>
      </c>
      <c r="D201">
        <f>Raw_Inventory!E201</f>
        <v>160</v>
      </c>
      <c r="E201">
        <f>Raw_Inventory!F201</f>
        <v>84</v>
      </c>
      <c r="F201">
        <f>Raw_Inventory!G201</f>
        <v>800</v>
      </c>
      <c r="G201">
        <f t="shared" si="9"/>
        <v>76</v>
      </c>
      <c r="H201">
        <f t="shared" si="10"/>
        <v>60800</v>
      </c>
      <c r="I201" t="str">
        <f t="shared" si="11"/>
        <v>OK</v>
      </c>
    </row>
    <row r="202" spans="1:9" x14ac:dyDescent="0.25">
      <c r="A202" t="str">
        <f>Raw_Inventory!A202</f>
        <v>P1201</v>
      </c>
      <c r="B202" t="str">
        <f>Raw_Inventory!B202</f>
        <v>SSD</v>
      </c>
      <c r="C202" t="str">
        <f>Raw_Inventory!D202</f>
        <v>Asus</v>
      </c>
      <c r="D202">
        <f>Raw_Inventory!E202</f>
        <v>161</v>
      </c>
      <c r="E202">
        <f>Raw_Inventory!F202</f>
        <v>139</v>
      </c>
      <c r="F202">
        <f>Raw_Inventory!G202</f>
        <v>5000</v>
      </c>
      <c r="G202">
        <f t="shared" si="9"/>
        <v>22</v>
      </c>
      <c r="H202">
        <f t="shared" si="10"/>
        <v>110000</v>
      </c>
      <c r="I202" t="str">
        <f t="shared" si="11"/>
        <v>OK</v>
      </c>
    </row>
    <row r="203" spans="1:9" x14ac:dyDescent="0.25">
      <c r="A203" t="str">
        <f>Raw_Inventory!A203</f>
        <v>P1202</v>
      </c>
      <c r="B203" t="str">
        <f>Raw_Inventory!B203</f>
        <v>Laptop</v>
      </c>
      <c r="C203" t="str">
        <f>Raw_Inventory!D203</f>
        <v>Asus</v>
      </c>
      <c r="D203">
        <f>Raw_Inventory!E203</f>
        <v>86</v>
      </c>
      <c r="E203">
        <f>Raw_Inventory!F203</f>
        <v>114</v>
      </c>
      <c r="F203">
        <f>Raw_Inventory!G203</f>
        <v>800</v>
      </c>
      <c r="G203">
        <f t="shared" si="9"/>
        <v>-28</v>
      </c>
      <c r="H203">
        <f t="shared" si="10"/>
        <v>-22400</v>
      </c>
      <c r="I203" t="str">
        <f t="shared" si="11"/>
        <v>Low Stock</v>
      </c>
    </row>
    <row r="204" spans="1:9" x14ac:dyDescent="0.25">
      <c r="A204" t="str">
        <f>Raw_Inventory!A204</f>
        <v>P1203</v>
      </c>
      <c r="B204" t="str">
        <f>Raw_Inventory!B204</f>
        <v>Webcam</v>
      </c>
      <c r="C204" t="str">
        <f>Raw_Inventory!D204</f>
        <v>Asus</v>
      </c>
      <c r="D204">
        <f>Raw_Inventory!E204</f>
        <v>161</v>
      </c>
      <c r="E204">
        <f>Raw_Inventory!F204</f>
        <v>65</v>
      </c>
      <c r="F204">
        <f>Raw_Inventory!G204</f>
        <v>30000</v>
      </c>
      <c r="G204">
        <f t="shared" si="9"/>
        <v>96</v>
      </c>
      <c r="H204">
        <f t="shared" si="10"/>
        <v>2880000</v>
      </c>
      <c r="I204" t="str">
        <f t="shared" si="11"/>
        <v>OK</v>
      </c>
    </row>
    <row r="205" spans="1:9" x14ac:dyDescent="0.25">
      <c r="A205" t="str">
        <f>Raw_Inventory!A205</f>
        <v>P1204</v>
      </c>
      <c r="B205" t="str">
        <f>Raw_Inventory!B205</f>
        <v>Monitor</v>
      </c>
      <c r="C205" t="str">
        <f>Raw_Inventory!D205</f>
        <v>Acer</v>
      </c>
      <c r="D205">
        <f>Raw_Inventory!E205</f>
        <v>193</v>
      </c>
      <c r="E205">
        <f>Raw_Inventory!F205</f>
        <v>20</v>
      </c>
      <c r="F205">
        <f>Raw_Inventory!G205</f>
        <v>12000</v>
      </c>
      <c r="G205">
        <f t="shared" si="9"/>
        <v>173</v>
      </c>
      <c r="H205">
        <f t="shared" si="10"/>
        <v>2076000</v>
      </c>
      <c r="I205" t="str">
        <f t="shared" si="11"/>
        <v>OK</v>
      </c>
    </row>
    <row r="206" spans="1:9" x14ac:dyDescent="0.25">
      <c r="A206" t="str">
        <f>Raw_Inventory!A206</f>
        <v>P1205</v>
      </c>
      <c r="B206" t="str">
        <f>Raw_Inventory!B206</f>
        <v>Keyboard</v>
      </c>
      <c r="C206" t="str">
        <f>Raw_Inventory!D206</f>
        <v>TP-Link</v>
      </c>
      <c r="D206">
        <f>Raw_Inventory!E206</f>
        <v>136</v>
      </c>
      <c r="E206">
        <f>Raw_Inventory!F206</f>
        <v>31</v>
      </c>
      <c r="F206">
        <f>Raw_Inventory!G206</f>
        <v>2500</v>
      </c>
      <c r="G206">
        <f t="shared" si="9"/>
        <v>105</v>
      </c>
      <c r="H206">
        <f t="shared" si="10"/>
        <v>262500</v>
      </c>
      <c r="I206" t="str">
        <f t="shared" si="11"/>
        <v>OK</v>
      </c>
    </row>
    <row r="207" spans="1:9" x14ac:dyDescent="0.25">
      <c r="A207" t="str">
        <f>Raw_Inventory!A207</f>
        <v>P1206</v>
      </c>
      <c r="B207" t="str">
        <f>Raw_Inventory!B207</f>
        <v>Tablet</v>
      </c>
      <c r="C207" t="str">
        <f>Raw_Inventory!D207</f>
        <v>Logitech</v>
      </c>
      <c r="D207">
        <f>Raw_Inventory!E207</f>
        <v>174</v>
      </c>
      <c r="E207">
        <f>Raw_Inventory!F207</f>
        <v>148</v>
      </c>
      <c r="F207">
        <f>Raw_Inventory!G207</f>
        <v>500</v>
      </c>
      <c r="G207">
        <f t="shared" si="9"/>
        <v>26</v>
      </c>
      <c r="H207">
        <f t="shared" si="10"/>
        <v>13000</v>
      </c>
      <c r="I207" t="str">
        <f t="shared" si="11"/>
        <v>OK</v>
      </c>
    </row>
    <row r="208" spans="1:9" x14ac:dyDescent="0.25">
      <c r="A208" t="str">
        <f>Raw_Inventory!A208</f>
        <v>P1207</v>
      </c>
      <c r="B208" t="str">
        <f>Raw_Inventory!B208</f>
        <v>Laptop</v>
      </c>
      <c r="C208" t="str">
        <f>Raw_Inventory!D208</f>
        <v>Seagate</v>
      </c>
      <c r="D208">
        <f>Raw_Inventory!E208</f>
        <v>115</v>
      </c>
      <c r="E208">
        <f>Raw_Inventory!F208</f>
        <v>28</v>
      </c>
      <c r="F208">
        <f>Raw_Inventory!G208</f>
        <v>8000</v>
      </c>
      <c r="G208">
        <f t="shared" si="9"/>
        <v>87</v>
      </c>
      <c r="H208">
        <f t="shared" si="10"/>
        <v>696000</v>
      </c>
      <c r="I208" t="str">
        <f t="shared" si="11"/>
        <v>OK</v>
      </c>
    </row>
    <row r="209" spans="1:9" x14ac:dyDescent="0.25">
      <c r="A209" t="str">
        <f>Raw_Inventory!A209</f>
        <v>P1208</v>
      </c>
      <c r="B209" t="str">
        <f>Raw_Inventory!B209</f>
        <v>Keyboard</v>
      </c>
      <c r="C209" t="str">
        <f>Raw_Inventory!D209</f>
        <v>Dell</v>
      </c>
      <c r="D209">
        <f>Raw_Inventory!E209</f>
        <v>173</v>
      </c>
      <c r="E209">
        <f>Raw_Inventory!F209</f>
        <v>27</v>
      </c>
      <c r="F209">
        <f>Raw_Inventory!G209</f>
        <v>30000</v>
      </c>
      <c r="G209">
        <f t="shared" si="9"/>
        <v>146</v>
      </c>
      <c r="H209">
        <f t="shared" si="10"/>
        <v>4380000</v>
      </c>
      <c r="I209" t="str">
        <f t="shared" si="11"/>
        <v>OK</v>
      </c>
    </row>
    <row r="210" spans="1:9" x14ac:dyDescent="0.25">
      <c r="A210" t="str">
        <f>Raw_Inventory!A210</f>
        <v>P1209</v>
      </c>
      <c r="B210" t="str">
        <f>Raw_Inventory!B210</f>
        <v>Keyboard</v>
      </c>
      <c r="C210" t="str">
        <f>Raw_Inventory!D210</f>
        <v>Canon</v>
      </c>
      <c r="D210">
        <f>Raw_Inventory!E210</f>
        <v>158</v>
      </c>
      <c r="E210">
        <f>Raw_Inventory!F210</f>
        <v>63</v>
      </c>
      <c r="F210">
        <f>Raw_Inventory!G210</f>
        <v>2500</v>
      </c>
      <c r="G210">
        <f t="shared" si="9"/>
        <v>95</v>
      </c>
      <c r="H210">
        <f t="shared" si="10"/>
        <v>237500</v>
      </c>
      <c r="I210" t="str">
        <f t="shared" si="11"/>
        <v>OK</v>
      </c>
    </row>
    <row r="211" spans="1:9" x14ac:dyDescent="0.25">
      <c r="A211" t="str">
        <f>Raw_Inventory!A211</f>
        <v>P1210</v>
      </c>
      <c r="B211" t="str">
        <f>Raw_Inventory!B211</f>
        <v>Mouse</v>
      </c>
      <c r="C211" t="str">
        <f>Raw_Inventory!D211</f>
        <v>Acer</v>
      </c>
      <c r="D211">
        <f>Raw_Inventory!E211</f>
        <v>172</v>
      </c>
      <c r="E211">
        <f>Raw_Inventory!F211</f>
        <v>48</v>
      </c>
      <c r="F211">
        <f>Raw_Inventory!G211</f>
        <v>30000</v>
      </c>
      <c r="G211">
        <f t="shared" si="9"/>
        <v>124</v>
      </c>
      <c r="H211">
        <f t="shared" si="10"/>
        <v>3720000</v>
      </c>
      <c r="I211" t="str">
        <f t="shared" si="11"/>
        <v>OK</v>
      </c>
    </row>
    <row r="212" spans="1:9" x14ac:dyDescent="0.25">
      <c r="A212" t="str">
        <f>Raw_Inventory!A212</f>
        <v>P1211</v>
      </c>
      <c r="B212" t="str">
        <f>Raw_Inventory!B212</f>
        <v>Webcam</v>
      </c>
      <c r="C212" t="str">
        <f>Raw_Inventory!D212</f>
        <v>Samsung</v>
      </c>
      <c r="D212">
        <f>Raw_Inventory!E212</f>
        <v>26</v>
      </c>
      <c r="E212">
        <f>Raw_Inventory!F212</f>
        <v>29</v>
      </c>
      <c r="F212">
        <f>Raw_Inventory!G212</f>
        <v>500</v>
      </c>
      <c r="G212">
        <f t="shared" si="9"/>
        <v>-3</v>
      </c>
      <c r="H212">
        <f t="shared" si="10"/>
        <v>-1500</v>
      </c>
      <c r="I212" t="str">
        <f t="shared" si="11"/>
        <v>Low Stock</v>
      </c>
    </row>
    <row r="213" spans="1:9" x14ac:dyDescent="0.25">
      <c r="A213" t="str">
        <f>Raw_Inventory!A213</f>
        <v>P1212</v>
      </c>
      <c r="B213" t="str">
        <f>Raw_Inventory!B213</f>
        <v>Laptop</v>
      </c>
      <c r="C213" t="str">
        <f>Raw_Inventory!D213</f>
        <v>Seagate</v>
      </c>
      <c r="D213">
        <f>Raw_Inventory!E213</f>
        <v>199</v>
      </c>
      <c r="E213">
        <f>Raw_Inventory!F213</f>
        <v>35</v>
      </c>
      <c r="F213">
        <f>Raw_Inventory!G213</f>
        <v>2500</v>
      </c>
      <c r="G213">
        <f t="shared" si="9"/>
        <v>164</v>
      </c>
      <c r="H213">
        <f t="shared" si="10"/>
        <v>410000</v>
      </c>
      <c r="I213" t="str">
        <f t="shared" si="11"/>
        <v>OK</v>
      </c>
    </row>
    <row r="214" spans="1:9" x14ac:dyDescent="0.25">
      <c r="A214" t="str">
        <f>Raw_Inventory!A214</f>
        <v>P1213</v>
      </c>
      <c r="B214" t="str">
        <f>Raw_Inventory!B214</f>
        <v>SSD</v>
      </c>
      <c r="C214" t="str">
        <f>Raw_Inventory!D214</f>
        <v>Logitech</v>
      </c>
      <c r="D214">
        <f>Raw_Inventory!E214</f>
        <v>41</v>
      </c>
      <c r="E214">
        <f>Raw_Inventory!F214</f>
        <v>59</v>
      </c>
      <c r="F214">
        <f>Raw_Inventory!G214</f>
        <v>2500</v>
      </c>
      <c r="G214">
        <f t="shared" si="9"/>
        <v>-18</v>
      </c>
      <c r="H214">
        <f t="shared" si="10"/>
        <v>-45000</v>
      </c>
      <c r="I214" t="str">
        <f t="shared" si="11"/>
        <v>Low Stock</v>
      </c>
    </row>
    <row r="215" spans="1:9" x14ac:dyDescent="0.25">
      <c r="A215" t="str">
        <f>Raw_Inventory!A215</f>
        <v>P1214</v>
      </c>
      <c r="B215" t="str">
        <f>Raw_Inventory!B215</f>
        <v>Keyboard</v>
      </c>
      <c r="C215" t="str">
        <f>Raw_Inventory!D215</f>
        <v>Lenovo</v>
      </c>
      <c r="D215">
        <f>Raw_Inventory!E215</f>
        <v>139</v>
      </c>
      <c r="E215">
        <f>Raw_Inventory!F215</f>
        <v>58</v>
      </c>
      <c r="F215">
        <f>Raw_Inventory!G215</f>
        <v>2500</v>
      </c>
      <c r="G215">
        <f t="shared" si="9"/>
        <v>81</v>
      </c>
      <c r="H215">
        <f t="shared" si="10"/>
        <v>202500</v>
      </c>
      <c r="I215" t="str">
        <f t="shared" si="11"/>
        <v>OK</v>
      </c>
    </row>
    <row r="216" spans="1:9" x14ac:dyDescent="0.25">
      <c r="A216" t="str">
        <f>Raw_Inventory!A216</f>
        <v>P1215</v>
      </c>
      <c r="B216" t="str">
        <f>Raw_Inventory!B216</f>
        <v>Mouse</v>
      </c>
      <c r="C216" t="str">
        <f>Raw_Inventory!D216</f>
        <v>HP</v>
      </c>
      <c r="D216">
        <f>Raw_Inventory!E216</f>
        <v>62</v>
      </c>
      <c r="E216">
        <f>Raw_Inventory!F216</f>
        <v>114</v>
      </c>
      <c r="F216">
        <f>Raw_Inventory!G216</f>
        <v>8000</v>
      </c>
      <c r="G216">
        <f t="shared" si="9"/>
        <v>-52</v>
      </c>
      <c r="H216">
        <f t="shared" si="10"/>
        <v>-416000</v>
      </c>
      <c r="I216" t="str">
        <f t="shared" si="11"/>
        <v>Low Stock</v>
      </c>
    </row>
    <row r="217" spans="1:9" x14ac:dyDescent="0.25">
      <c r="A217" t="str">
        <f>Raw_Inventory!A217</f>
        <v>P1216</v>
      </c>
      <c r="B217" t="str">
        <f>Raw_Inventory!B217</f>
        <v>Keyboard</v>
      </c>
      <c r="C217" t="str">
        <f>Raw_Inventory!D217</f>
        <v>Lenovo</v>
      </c>
      <c r="D217">
        <f>Raw_Inventory!E217</f>
        <v>55</v>
      </c>
      <c r="E217">
        <f>Raw_Inventory!F217</f>
        <v>97</v>
      </c>
      <c r="F217">
        <f>Raw_Inventory!G217</f>
        <v>55000</v>
      </c>
      <c r="G217">
        <f t="shared" si="9"/>
        <v>-42</v>
      </c>
      <c r="H217">
        <f t="shared" si="10"/>
        <v>-2310000</v>
      </c>
      <c r="I217" t="str">
        <f t="shared" si="11"/>
        <v>Low Stock</v>
      </c>
    </row>
    <row r="218" spans="1:9" x14ac:dyDescent="0.25">
      <c r="A218" t="str">
        <f>Raw_Inventory!A218</f>
        <v>P1217</v>
      </c>
      <c r="B218" t="str">
        <f>Raw_Inventory!B218</f>
        <v>Router</v>
      </c>
      <c r="C218" t="str">
        <f>Raw_Inventory!D218</f>
        <v>Canon</v>
      </c>
      <c r="D218">
        <f>Raw_Inventory!E218</f>
        <v>160</v>
      </c>
      <c r="E218">
        <f>Raw_Inventory!F218</f>
        <v>129</v>
      </c>
      <c r="F218">
        <f>Raw_Inventory!G218</f>
        <v>1200</v>
      </c>
      <c r="G218">
        <f t="shared" si="9"/>
        <v>31</v>
      </c>
      <c r="H218">
        <f t="shared" si="10"/>
        <v>37200</v>
      </c>
      <c r="I218" t="str">
        <f t="shared" si="11"/>
        <v>OK</v>
      </c>
    </row>
    <row r="219" spans="1:9" x14ac:dyDescent="0.25">
      <c r="A219" t="str">
        <f>Raw_Inventory!A219</f>
        <v>P1218</v>
      </c>
      <c r="B219" t="str">
        <f>Raw_Inventory!B219</f>
        <v>Printer</v>
      </c>
      <c r="C219" t="str">
        <f>Raw_Inventory!D219</f>
        <v>Lenovo</v>
      </c>
      <c r="D219">
        <f>Raw_Inventory!E219</f>
        <v>42</v>
      </c>
      <c r="E219">
        <f>Raw_Inventory!F219</f>
        <v>140</v>
      </c>
      <c r="F219">
        <f>Raw_Inventory!G219</f>
        <v>30000</v>
      </c>
      <c r="G219">
        <f t="shared" si="9"/>
        <v>-98</v>
      </c>
      <c r="H219">
        <f t="shared" si="10"/>
        <v>-2940000</v>
      </c>
      <c r="I219" t="str">
        <f t="shared" si="11"/>
        <v>Low Stock</v>
      </c>
    </row>
    <row r="220" spans="1:9" x14ac:dyDescent="0.25">
      <c r="A220" t="str">
        <f>Raw_Inventory!A220</f>
        <v>P1219</v>
      </c>
      <c r="B220" t="str">
        <f>Raw_Inventory!B220</f>
        <v>Tablet</v>
      </c>
      <c r="C220" t="str">
        <f>Raw_Inventory!D220</f>
        <v>Dell</v>
      </c>
      <c r="D220">
        <f>Raw_Inventory!E220</f>
        <v>155</v>
      </c>
      <c r="E220">
        <f>Raw_Inventory!F220</f>
        <v>108</v>
      </c>
      <c r="F220">
        <f>Raw_Inventory!G220</f>
        <v>800</v>
      </c>
      <c r="G220">
        <f t="shared" si="9"/>
        <v>47</v>
      </c>
      <c r="H220">
        <f t="shared" si="10"/>
        <v>37600</v>
      </c>
      <c r="I220" t="str">
        <f t="shared" si="11"/>
        <v>OK</v>
      </c>
    </row>
    <row r="221" spans="1:9" x14ac:dyDescent="0.25">
      <c r="A221" t="str">
        <f>Raw_Inventory!A221</f>
        <v>P1220</v>
      </c>
      <c r="B221" t="str">
        <f>Raw_Inventory!B221</f>
        <v>Router</v>
      </c>
      <c r="C221" t="str">
        <f>Raw_Inventory!D221</f>
        <v>Asus</v>
      </c>
      <c r="D221">
        <f>Raw_Inventory!E221</f>
        <v>34</v>
      </c>
      <c r="E221">
        <f>Raw_Inventory!F221</f>
        <v>10</v>
      </c>
      <c r="F221">
        <f>Raw_Inventory!G221</f>
        <v>800</v>
      </c>
      <c r="G221">
        <f t="shared" si="9"/>
        <v>24</v>
      </c>
      <c r="H221">
        <f t="shared" si="10"/>
        <v>19200</v>
      </c>
      <c r="I221" t="str">
        <f t="shared" si="11"/>
        <v>OK</v>
      </c>
    </row>
    <row r="222" spans="1:9" x14ac:dyDescent="0.25">
      <c r="A222" t="str">
        <f>Raw_Inventory!A222</f>
        <v>P1221</v>
      </c>
      <c r="B222" t="str">
        <f>Raw_Inventory!B222</f>
        <v>Laptop</v>
      </c>
      <c r="C222" t="str">
        <f>Raw_Inventory!D222</f>
        <v>TP-Link</v>
      </c>
      <c r="D222">
        <f>Raw_Inventory!E222</f>
        <v>73</v>
      </c>
      <c r="E222">
        <f>Raw_Inventory!F222</f>
        <v>62</v>
      </c>
      <c r="F222">
        <f>Raw_Inventory!G222</f>
        <v>1200</v>
      </c>
      <c r="G222">
        <f t="shared" si="9"/>
        <v>11</v>
      </c>
      <c r="H222">
        <f t="shared" si="10"/>
        <v>13200</v>
      </c>
      <c r="I222" t="str">
        <f t="shared" si="11"/>
        <v>OK</v>
      </c>
    </row>
    <row r="223" spans="1:9" x14ac:dyDescent="0.25">
      <c r="A223" t="str">
        <f>Raw_Inventory!A223</f>
        <v>P1222</v>
      </c>
      <c r="B223" t="str">
        <f>Raw_Inventory!B223</f>
        <v>Router</v>
      </c>
      <c r="C223" t="str">
        <f>Raw_Inventory!D223</f>
        <v>TP-Link</v>
      </c>
      <c r="D223">
        <f>Raw_Inventory!E223</f>
        <v>53</v>
      </c>
      <c r="E223">
        <f>Raw_Inventory!F223</f>
        <v>20</v>
      </c>
      <c r="F223">
        <f>Raw_Inventory!G223</f>
        <v>800</v>
      </c>
      <c r="G223">
        <f t="shared" si="9"/>
        <v>33</v>
      </c>
      <c r="H223">
        <f t="shared" si="10"/>
        <v>26400</v>
      </c>
      <c r="I223" t="str">
        <f t="shared" si="11"/>
        <v>OK</v>
      </c>
    </row>
    <row r="224" spans="1:9" x14ac:dyDescent="0.25">
      <c r="A224" t="str">
        <f>Raw_Inventory!A224</f>
        <v>P1223</v>
      </c>
      <c r="B224" t="str">
        <f>Raw_Inventory!B224</f>
        <v>Headphones</v>
      </c>
      <c r="C224" t="str">
        <f>Raw_Inventory!D224</f>
        <v>Samsung</v>
      </c>
      <c r="D224">
        <f>Raw_Inventory!E224</f>
        <v>127</v>
      </c>
      <c r="E224">
        <f>Raw_Inventory!F224</f>
        <v>70</v>
      </c>
      <c r="F224">
        <f>Raw_Inventory!G224</f>
        <v>2500</v>
      </c>
      <c r="G224">
        <f t="shared" si="9"/>
        <v>57</v>
      </c>
      <c r="H224">
        <f t="shared" si="10"/>
        <v>142500</v>
      </c>
      <c r="I224" t="str">
        <f t="shared" si="11"/>
        <v>OK</v>
      </c>
    </row>
    <row r="225" spans="1:9" x14ac:dyDescent="0.25">
      <c r="A225" t="str">
        <f>Raw_Inventory!A225</f>
        <v>P1224</v>
      </c>
      <c r="B225" t="str">
        <f>Raw_Inventory!B225</f>
        <v>Tablet</v>
      </c>
      <c r="C225" t="str">
        <f>Raw_Inventory!D225</f>
        <v>Seagate</v>
      </c>
      <c r="D225">
        <f>Raw_Inventory!E225</f>
        <v>174</v>
      </c>
      <c r="E225">
        <f>Raw_Inventory!F225</f>
        <v>112</v>
      </c>
      <c r="F225">
        <f>Raw_Inventory!G225</f>
        <v>1500</v>
      </c>
      <c r="G225">
        <f t="shared" si="9"/>
        <v>62</v>
      </c>
      <c r="H225">
        <f t="shared" si="10"/>
        <v>93000</v>
      </c>
      <c r="I225" t="str">
        <f t="shared" si="11"/>
        <v>OK</v>
      </c>
    </row>
    <row r="226" spans="1:9" x14ac:dyDescent="0.25">
      <c r="A226" t="str">
        <f>Raw_Inventory!A226</f>
        <v>P1225</v>
      </c>
      <c r="B226" t="str">
        <f>Raw_Inventory!B226</f>
        <v>SSD</v>
      </c>
      <c r="C226" t="str">
        <f>Raw_Inventory!D226</f>
        <v>Canon</v>
      </c>
      <c r="D226">
        <f>Raw_Inventory!E226</f>
        <v>96</v>
      </c>
      <c r="E226">
        <f>Raw_Inventory!F226</f>
        <v>22</v>
      </c>
      <c r="F226">
        <f>Raw_Inventory!G226</f>
        <v>55000</v>
      </c>
      <c r="G226">
        <f t="shared" si="9"/>
        <v>74</v>
      </c>
      <c r="H226">
        <f t="shared" si="10"/>
        <v>4070000</v>
      </c>
      <c r="I226" t="str">
        <f t="shared" si="11"/>
        <v>OK</v>
      </c>
    </row>
    <row r="227" spans="1:9" x14ac:dyDescent="0.25">
      <c r="A227" t="str">
        <f>Raw_Inventory!A227</f>
        <v>P1226</v>
      </c>
      <c r="B227" t="str">
        <f>Raw_Inventory!B227</f>
        <v>Headphones</v>
      </c>
      <c r="C227" t="str">
        <f>Raw_Inventory!D227</f>
        <v>TP-Link</v>
      </c>
      <c r="D227">
        <f>Raw_Inventory!E227</f>
        <v>49</v>
      </c>
      <c r="E227">
        <f>Raw_Inventory!F227</f>
        <v>2</v>
      </c>
      <c r="F227">
        <f>Raw_Inventory!G227</f>
        <v>12000</v>
      </c>
      <c r="G227">
        <f t="shared" si="9"/>
        <v>47</v>
      </c>
      <c r="H227">
        <f t="shared" si="10"/>
        <v>564000</v>
      </c>
      <c r="I227" t="str">
        <f t="shared" si="11"/>
        <v>OK</v>
      </c>
    </row>
    <row r="228" spans="1:9" x14ac:dyDescent="0.25">
      <c r="A228" t="str">
        <f>Raw_Inventory!A228</f>
        <v>P1227</v>
      </c>
      <c r="B228" t="str">
        <f>Raw_Inventory!B228</f>
        <v>SSD</v>
      </c>
      <c r="C228" t="str">
        <f>Raw_Inventory!D228</f>
        <v>TP-Link</v>
      </c>
      <c r="D228">
        <f>Raw_Inventory!E228</f>
        <v>169</v>
      </c>
      <c r="E228">
        <f>Raw_Inventory!F228</f>
        <v>59</v>
      </c>
      <c r="F228">
        <f>Raw_Inventory!G228</f>
        <v>55000</v>
      </c>
      <c r="G228">
        <f t="shared" si="9"/>
        <v>110</v>
      </c>
      <c r="H228">
        <f t="shared" si="10"/>
        <v>6050000</v>
      </c>
      <c r="I228" t="str">
        <f t="shared" si="11"/>
        <v>OK</v>
      </c>
    </row>
    <row r="229" spans="1:9" x14ac:dyDescent="0.25">
      <c r="A229" t="str">
        <f>Raw_Inventory!A229</f>
        <v>P1228</v>
      </c>
      <c r="B229" t="str">
        <f>Raw_Inventory!B229</f>
        <v>Router</v>
      </c>
      <c r="C229" t="str">
        <f>Raw_Inventory!D229</f>
        <v>Logitech</v>
      </c>
      <c r="D229">
        <f>Raw_Inventory!E229</f>
        <v>40</v>
      </c>
      <c r="E229">
        <f>Raw_Inventory!F229</f>
        <v>149</v>
      </c>
      <c r="F229">
        <f>Raw_Inventory!G229</f>
        <v>8000</v>
      </c>
      <c r="G229">
        <f t="shared" si="9"/>
        <v>-109</v>
      </c>
      <c r="H229">
        <f t="shared" si="10"/>
        <v>-872000</v>
      </c>
      <c r="I229" t="str">
        <f t="shared" si="11"/>
        <v>Low Stock</v>
      </c>
    </row>
    <row r="230" spans="1:9" x14ac:dyDescent="0.25">
      <c r="A230" t="str">
        <f>Raw_Inventory!A230</f>
        <v>P1229</v>
      </c>
      <c r="B230" t="str">
        <f>Raw_Inventory!B230</f>
        <v>Tablet</v>
      </c>
      <c r="C230" t="str">
        <f>Raw_Inventory!D230</f>
        <v>Logitech</v>
      </c>
      <c r="D230">
        <f>Raw_Inventory!E230</f>
        <v>129</v>
      </c>
      <c r="E230">
        <f>Raw_Inventory!F230</f>
        <v>89</v>
      </c>
      <c r="F230">
        <f>Raw_Inventory!G230</f>
        <v>30000</v>
      </c>
      <c r="G230">
        <f t="shared" si="9"/>
        <v>40</v>
      </c>
      <c r="H230">
        <f t="shared" si="10"/>
        <v>1200000</v>
      </c>
      <c r="I230" t="str">
        <f t="shared" si="11"/>
        <v>OK</v>
      </c>
    </row>
    <row r="231" spans="1:9" x14ac:dyDescent="0.25">
      <c r="A231" t="str">
        <f>Raw_Inventory!A231</f>
        <v>P1230</v>
      </c>
      <c r="B231" t="str">
        <f>Raw_Inventory!B231</f>
        <v>Webcam</v>
      </c>
      <c r="C231" t="str">
        <f>Raw_Inventory!D231</f>
        <v>Canon</v>
      </c>
      <c r="D231">
        <f>Raw_Inventory!E231</f>
        <v>140</v>
      </c>
      <c r="E231">
        <f>Raw_Inventory!F231</f>
        <v>92</v>
      </c>
      <c r="F231">
        <f>Raw_Inventory!G231</f>
        <v>1500</v>
      </c>
      <c r="G231">
        <f t="shared" si="9"/>
        <v>48</v>
      </c>
      <c r="H231">
        <f t="shared" si="10"/>
        <v>72000</v>
      </c>
      <c r="I231" t="str">
        <f t="shared" si="11"/>
        <v>OK</v>
      </c>
    </row>
    <row r="232" spans="1:9" x14ac:dyDescent="0.25">
      <c r="A232" t="str">
        <f>Raw_Inventory!A232</f>
        <v>P1231</v>
      </c>
      <c r="B232" t="str">
        <f>Raw_Inventory!B232</f>
        <v>Laptop</v>
      </c>
      <c r="C232" t="str">
        <f>Raw_Inventory!D232</f>
        <v>Dell</v>
      </c>
      <c r="D232">
        <f>Raw_Inventory!E232</f>
        <v>195</v>
      </c>
      <c r="E232">
        <f>Raw_Inventory!F232</f>
        <v>59</v>
      </c>
      <c r="F232">
        <f>Raw_Inventory!G232</f>
        <v>500</v>
      </c>
      <c r="G232">
        <f t="shared" si="9"/>
        <v>136</v>
      </c>
      <c r="H232">
        <f t="shared" si="10"/>
        <v>68000</v>
      </c>
      <c r="I232" t="str">
        <f t="shared" si="11"/>
        <v>OK</v>
      </c>
    </row>
    <row r="233" spans="1:9" x14ac:dyDescent="0.25">
      <c r="A233" t="str">
        <f>Raw_Inventory!A233</f>
        <v>P1232</v>
      </c>
      <c r="B233" t="str">
        <f>Raw_Inventory!B233</f>
        <v>Mouse</v>
      </c>
      <c r="C233" t="str">
        <f>Raw_Inventory!D233</f>
        <v>Logitech</v>
      </c>
      <c r="D233">
        <f>Raw_Inventory!E233</f>
        <v>140</v>
      </c>
      <c r="E233">
        <f>Raw_Inventory!F233</f>
        <v>109</v>
      </c>
      <c r="F233">
        <f>Raw_Inventory!G233</f>
        <v>1500</v>
      </c>
      <c r="G233">
        <f t="shared" si="9"/>
        <v>31</v>
      </c>
      <c r="H233">
        <f t="shared" si="10"/>
        <v>46500</v>
      </c>
      <c r="I233" t="str">
        <f t="shared" si="11"/>
        <v>OK</v>
      </c>
    </row>
    <row r="234" spans="1:9" x14ac:dyDescent="0.25">
      <c r="A234" t="str">
        <f>Raw_Inventory!A234</f>
        <v>P1233</v>
      </c>
      <c r="B234" t="str">
        <f>Raw_Inventory!B234</f>
        <v>SSD</v>
      </c>
      <c r="C234" t="str">
        <f>Raw_Inventory!D234</f>
        <v>Samsung</v>
      </c>
      <c r="D234">
        <f>Raw_Inventory!E234</f>
        <v>133</v>
      </c>
      <c r="E234">
        <f>Raw_Inventory!F234</f>
        <v>115</v>
      </c>
      <c r="F234">
        <f>Raw_Inventory!G234</f>
        <v>800</v>
      </c>
      <c r="G234">
        <f t="shared" si="9"/>
        <v>18</v>
      </c>
      <c r="H234">
        <f t="shared" si="10"/>
        <v>14400</v>
      </c>
      <c r="I234" t="str">
        <f t="shared" si="11"/>
        <v>OK</v>
      </c>
    </row>
    <row r="235" spans="1:9" x14ac:dyDescent="0.25">
      <c r="A235" t="str">
        <f>Raw_Inventory!A235</f>
        <v>P1234</v>
      </c>
      <c r="B235" t="str">
        <f>Raw_Inventory!B235</f>
        <v>Router</v>
      </c>
      <c r="C235" t="str">
        <f>Raw_Inventory!D235</f>
        <v>HP</v>
      </c>
      <c r="D235">
        <f>Raw_Inventory!E235</f>
        <v>196</v>
      </c>
      <c r="E235">
        <f>Raw_Inventory!F235</f>
        <v>81</v>
      </c>
      <c r="F235">
        <f>Raw_Inventory!G235</f>
        <v>1500</v>
      </c>
      <c r="G235">
        <f t="shared" si="9"/>
        <v>115</v>
      </c>
      <c r="H235">
        <f t="shared" si="10"/>
        <v>172500</v>
      </c>
      <c r="I235" t="str">
        <f t="shared" si="11"/>
        <v>OK</v>
      </c>
    </row>
    <row r="236" spans="1:9" x14ac:dyDescent="0.25">
      <c r="A236" t="str">
        <f>Raw_Inventory!A236</f>
        <v>P1235</v>
      </c>
      <c r="B236" t="str">
        <f>Raw_Inventory!B236</f>
        <v>Router</v>
      </c>
      <c r="C236" t="str">
        <f>Raw_Inventory!D236</f>
        <v>Logitech</v>
      </c>
      <c r="D236">
        <f>Raw_Inventory!E236</f>
        <v>39</v>
      </c>
      <c r="E236">
        <f>Raw_Inventory!F236</f>
        <v>89</v>
      </c>
      <c r="F236">
        <f>Raw_Inventory!G236</f>
        <v>800</v>
      </c>
      <c r="G236">
        <f t="shared" si="9"/>
        <v>-50</v>
      </c>
      <c r="H236">
        <f t="shared" si="10"/>
        <v>-40000</v>
      </c>
      <c r="I236" t="str">
        <f t="shared" si="11"/>
        <v>Low Stock</v>
      </c>
    </row>
    <row r="237" spans="1:9" x14ac:dyDescent="0.25">
      <c r="A237" t="str">
        <f>Raw_Inventory!A237</f>
        <v>P1236</v>
      </c>
      <c r="B237" t="str">
        <f>Raw_Inventory!B237</f>
        <v>Keyboard</v>
      </c>
      <c r="C237" t="str">
        <f>Raw_Inventory!D237</f>
        <v>Seagate</v>
      </c>
      <c r="D237">
        <f>Raw_Inventory!E237</f>
        <v>22</v>
      </c>
      <c r="E237">
        <f>Raw_Inventory!F237</f>
        <v>19</v>
      </c>
      <c r="F237">
        <f>Raw_Inventory!G237</f>
        <v>55000</v>
      </c>
      <c r="G237">
        <f t="shared" si="9"/>
        <v>3</v>
      </c>
      <c r="H237">
        <f t="shared" si="10"/>
        <v>165000</v>
      </c>
      <c r="I237" t="str">
        <f t="shared" si="11"/>
        <v>Low Stock</v>
      </c>
    </row>
    <row r="238" spans="1:9" x14ac:dyDescent="0.25">
      <c r="A238" t="str">
        <f>Raw_Inventory!A238</f>
        <v>P1237</v>
      </c>
      <c r="B238" t="str">
        <f>Raw_Inventory!B238</f>
        <v>Monitor</v>
      </c>
      <c r="C238" t="str">
        <f>Raw_Inventory!D238</f>
        <v>Lenovo</v>
      </c>
      <c r="D238">
        <f>Raw_Inventory!E238</f>
        <v>153</v>
      </c>
      <c r="E238">
        <f>Raw_Inventory!F238</f>
        <v>53</v>
      </c>
      <c r="F238">
        <f>Raw_Inventory!G238</f>
        <v>12000</v>
      </c>
      <c r="G238">
        <f t="shared" si="9"/>
        <v>100</v>
      </c>
      <c r="H238">
        <f t="shared" si="10"/>
        <v>1200000</v>
      </c>
      <c r="I238" t="str">
        <f t="shared" si="11"/>
        <v>OK</v>
      </c>
    </row>
    <row r="239" spans="1:9" x14ac:dyDescent="0.25">
      <c r="A239" t="str">
        <f>Raw_Inventory!A239</f>
        <v>P1238</v>
      </c>
      <c r="B239" t="str">
        <f>Raw_Inventory!B239</f>
        <v>Printer</v>
      </c>
      <c r="C239" t="str">
        <f>Raw_Inventory!D239</f>
        <v>Asus</v>
      </c>
      <c r="D239">
        <f>Raw_Inventory!E239</f>
        <v>44</v>
      </c>
      <c r="E239">
        <f>Raw_Inventory!F239</f>
        <v>18</v>
      </c>
      <c r="F239">
        <f>Raw_Inventory!G239</f>
        <v>12000</v>
      </c>
      <c r="G239">
        <f t="shared" si="9"/>
        <v>26</v>
      </c>
      <c r="H239">
        <f t="shared" si="10"/>
        <v>312000</v>
      </c>
      <c r="I239" t="str">
        <f t="shared" si="11"/>
        <v>OK</v>
      </c>
    </row>
    <row r="240" spans="1:9" x14ac:dyDescent="0.25">
      <c r="A240" t="str">
        <f>Raw_Inventory!A240</f>
        <v>P1239</v>
      </c>
      <c r="B240" t="str">
        <f>Raw_Inventory!B240</f>
        <v>Printer</v>
      </c>
      <c r="C240" t="str">
        <f>Raw_Inventory!D240</f>
        <v>Samsung</v>
      </c>
      <c r="D240">
        <f>Raw_Inventory!E240</f>
        <v>177</v>
      </c>
      <c r="E240">
        <f>Raw_Inventory!F240</f>
        <v>116</v>
      </c>
      <c r="F240">
        <f>Raw_Inventory!G240</f>
        <v>30000</v>
      </c>
      <c r="G240">
        <f t="shared" si="9"/>
        <v>61</v>
      </c>
      <c r="H240">
        <f t="shared" si="10"/>
        <v>1830000</v>
      </c>
      <c r="I240" t="str">
        <f t="shared" si="11"/>
        <v>OK</v>
      </c>
    </row>
    <row r="241" spans="1:9" x14ac:dyDescent="0.25">
      <c r="A241" t="str">
        <f>Raw_Inventory!A241</f>
        <v>P1240</v>
      </c>
      <c r="B241" t="str">
        <f>Raw_Inventory!B241</f>
        <v>Printer</v>
      </c>
      <c r="C241" t="str">
        <f>Raw_Inventory!D241</f>
        <v>Asus</v>
      </c>
      <c r="D241">
        <f>Raw_Inventory!E241</f>
        <v>173</v>
      </c>
      <c r="E241">
        <f>Raw_Inventory!F241</f>
        <v>45</v>
      </c>
      <c r="F241">
        <f>Raw_Inventory!G241</f>
        <v>800</v>
      </c>
      <c r="G241">
        <f t="shared" si="9"/>
        <v>128</v>
      </c>
      <c r="H241">
        <f t="shared" si="10"/>
        <v>102400</v>
      </c>
      <c r="I241" t="str">
        <f t="shared" si="11"/>
        <v>OK</v>
      </c>
    </row>
    <row r="242" spans="1:9" x14ac:dyDescent="0.25">
      <c r="A242" t="str">
        <f>Raw_Inventory!A242</f>
        <v>P1241</v>
      </c>
      <c r="B242" t="str">
        <f>Raw_Inventory!B242</f>
        <v>Keyboard</v>
      </c>
      <c r="C242" t="str">
        <f>Raw_Inventory!D242</f>
        <v>Lenovo</v>
      </c>
      <c r="D242">
        <f>Raw_Inventory!E242</f>
        <v>161</v>
      </c>
      <c r="E242">
        <f>Raw_Inventory!F242</f>
        <v>31</v>
      </c>
      <c r="F242">
        <f>Raw_Inventory!G242</f>
        <v>8000</v>
      </c>
      <c r="G242">
        <f t="shared" si="9"/>
        <v>130</v>
      </c>
      <c r="H242">
        <f t="shared" si="10"/>
        <v>1040000</v>
      </c>
      <c r="I242" t="str">
        <f t="shared" si="11"/>
        <v>OK</v>
      </c>
    </row>
    <row r="243" spans="1:9" x14ac:dyDescent="0.25">
      <c r="A243" t="str">
        <f>Raw_Inventory!A243</f>
        <v>P1242</v>
      </c>
      <c r="B243" t="str">
        <f>Raw_Inventory!B243</f>
        <v>Router</v>
      </c>
      <c r="C243" t="str">
        <f>Raw_Inventory!D243</f>
        <v>Asus</v>
      </c>
      <c r="D243">
        <f>Raw_Inventory!E243</f>
        <v>50</v>
      </c>
      <c r="E243">
        <f>Raw_Inventory!F243</f>
        <v>139</v>
      </c>
      <c r="F243">
        <f>Raw_Inventory!G243</f>
        <v>500</v>
      </c>
      <c r="G243">
        <f t="shared" si="9"/>
        <v>-89</v>
      </c>
      <c r="H243">
        <f t="shared" si="10"/>
        <v>-44500</v>
      </c>
      <c r="I243" t="str">
        <f t="shared" si="11"/>
        <v>Low Stock</v>
      </c>
    </row>
    <row r="244" spans="1:9" x14ac:dyDescent="0.25">
      <c r="A244" t="str">
        <f>Raw_Inventory!A244</f>
        <v>P1243</v>
      </c>
      <c r="B244" t="str">
        <f>Raw_Inventory!B244</f>
        <v>Printer</v>
      </c>
      <c r="C244" t="str">
        <f>Raw_Inventory!D244</f>
        <v>Dell</v>
      </c>
      <c r="D244">
        <f>Raw_Inventory!E244</f>
        <v>166</v>
      </c>
      <c r="E244">
        <f>Raw_Inventory!F244</f>
        <v>39</v>
      </c>
      <c r="F244">
        <f>Raw_Inventory!G244</f>
        <v>800</v>
      </c>
      <c r="G244">
        <f t="shared" si="9"/>
        <v>127</v>
      </c>
      <c r="H244">
        <f t="shared" si="10"/>
        <v>101600</v>
      </c>
      <c r="I244" t="str">
        <f t="shared" si="11"/>
        <v>OK</v>
      </c>
    </row>
    <row r="245" spans="1:9" x14ac:dyDescent="0.25">
      <c r="A245" t="str">
        <f>Raw_Inventory!A245</f>
        <v>P1244</v>
      </c>
      <c r="B245" t="str">
        <f>Raw_Inventory!B245</f>
        <v>Tablet</v>
      </c>
      <c r="C245" t="str">
        <f>Raw_Inventory!D245</f>
        <v>Acer</v>
      </c>
      <c r="D245">
        <f>Raw_Inventory!E245</f>
        <v>131</v>
      </c>
      <c r="E245">
        <f>Raw_Inventory!F245</f>
        <v>143</v>
      </c>
      <c r="F245">
        <f>Raw_Inventory!G245</f>
        <v>30000</v>
      </c>
      <c r="G245">
        <f t="shared" si="9"/>
        <v>-12</v>
      </c>
      <c r="H245">
        <f t="shared" si="10"/>
        <v>-360000</v>
      </c>
      <c r="I245" t="str">
        <f t="shared" si="11"/>
        <v>Low Stock</v>
      </c>
    </row>
    <row r="246" spans="1:9" x14ac:dyDescent="0.25">
      <c r="A246" t="str">
        <f>Raw_Inventory!A246</f>
        <v>P1245</v>
      </c>
      <c r="B246" t="str">
        <f>Raw_Inventory!B246</f>
        <v>Keyboard</v>
      </c>
      <c r="C246" t="str">
        <f>Raw_Inventory!D246</f>
        <v>Samsung</v>
      </c>
      <c r="D246">
        <f>Raw_Inventory!E246</f>
        <v>152</v>
      </c>
      <c r="E246">
        <f>Raw_Inventory!F246</f>
        <v>46</v>
      </c>
      <c r="F246">
        <f>Raw_Inventory!G246</f>
        <v>5000</v>
      </c>
      <c r="G246">
        <f t="shared" si="9"/>
        <v>106</v>
      </c>
      <c r="H246">
        <f t="shared" si="10"/>
        <v>530000</v>
      </c>
      <c r="I246" t="str">
        <f t="shared" si="11"/>
        <v>OK</v>
      </c>
    </row>
    <row r="247" spans="1:9" x14ac:dyDescent="0.25">
      <c r="A247" t="str">
        <f>Raw_Inventory!A247</f>
        <v>P1246</v>
      </c>
      <c r="B247" t="str">
        <f>Raw_Inventory!B247</f>
        <v>Mouse</v>
      </c>
      <c r="C247" t="str">
        <f>Raw_Inventory!D247</f>
        <v>Seagate</v>
      </c>
      <c r="D247">
        <f>Raw_Inventory!E247</f>
        <v>132</v>
      </c>
      <c r="E247">
        <f>Raw_Inventory!F247</f>
        <v>123</v>
      </c>
      <c r="F247">
        <f>Raw_Inventory!G247</f>
        <v>30000</v>
      </c>
      <c r="G247">
        <f t="shared" si="9"/>
        <v>9</v>
      </c>
      <c r="H247">
        <f t="shared" si="10"/>
        <v>270000</v>
      </c>
      <c r="I247" t="str">
        <f t="shared" si="11"/>
        <v>Low Stock</v>
      </c>
    </row>
    <row r="248" spans="1:9" x14ac:dyDescent="0.25">
      <c r="A248" t="str">
        <f>Raw_Inventory!A248</f>
        <v>P1247</v>
      </c>
      <c r="B248" t="str">
        <f>Raw_Inventory!B248</f>
        <v>Mouse</v>
      </c>
      <c r="C248" t="str">
        <f>Raw_Inventory!D248</f>
        <v>Seagate</v>
      </c>
      <c r="D248">
        <f>Raw_Inventory!E248</f>
        <v>107</v>
      </c>
      <c r="E248">
        <f>Raw_Inventory!F248</f>
        <v>80</v>
      </c>
      <c r="F248">
        <f>Raw_Inventory!G248</f>
        <v>500</v>
      </c>
      <c r="G248">
        <f t="shared" si="9"/>
        <v>27</v>
      </c>
      <c r="H248">
        <f t="shared" si="10"/>
        <v>13500</v>
      </c>
      <c r="I248" t="str">
        <f t="shared" si="11"/>
        <v>OK</v>
      </c>
    </row>
    <row r="249" spans="1:9" x14ac:dyDescent="0.25">
      <c r="A249" t="str">
        <f>Raw_Inventory!A249</f>
        <v>P1248</v>
      </c>
      <c r="B249" t="str">
        <f>Raw_Inventory!B249</f>
        <v>Keyboard</v>
      </c>
      <c r="C249" t="str">
        <f>Raw_Inventory!D249</f>
        <v>Canon</v>
      </c>
      <c r="D249">
        <f>Raw_Inventory!E249</f>
        <v>175</v>
      </c>
      <c r="E249">
        <f>Raw_Inventory!F249</f>
        <v>15</v>
      </c>
      <c r="F249">
        <f>Raw_Inventory!G249</f>
        <v>800</v>
      </c>
      <c r="G249">
        <f t="shared" si="9"/>
        <v>160</v>
      </c>
      <c r="H249">
        <f t="shared" si="10"/>
        <v>128000</v>
      </c>
      <c r="I249" t="str">
        <f t="shared" si="11"/>
        <v>OK</v>
      </c>
    </row>
    <row r="250" spans="1:9" x14ac:dyDescent="0.25">
      <c r="A250" t="str">
        <f>Raw_Inventory!A250</f>
        <v>P1249</v>
      </c>
      <c r="B250" t="str">
        <f>Raw_Inventory!B250</f>
        <v>Webcam</v>
      </c>
      <c r="C250" t="str">
        <f>Raw_Inventory!D250</f>
        <v>Asus</v>
      </c>
      <c r="D250">
        <f>Raw_Inventory!E250</f>
        <v>36</v>
      </c>
      <c r="E250">
        <f>Raw_Inventory!F250</f>
        <v>2</v>
      </c>
      <c r="F250">
        <f>Raw_Inventory!G250</f>
        <v>12000</v>
      </c>
      <c r="G250">
        <f t="shared" si="9"/>
        <v>34</v>
      </c>
      <c r="H250">
        <f t="shared" si="10"/>
        <v>408000</v>
      </c>
      <c r="I250" t="str">
        <f t="shared" si="11"/>
        <v>OK</v>
      </c>
    </row>
    <row r="251" spans="1:9" x14ac:dyDescent="0.25">
      <c r="A251" t="str">
        <f>Raw_Inventory!A251</f>
        <v>P1250</v>
      </c>
      <c r="B251" t="str">
        <f>Raw_Inventory!B251</f>
        <v>Webcam</v>
      </c>
      <c r="C251" t="str">
        <f>Raw_Inventory!D251</f>
        <v>Seagate</v>
      </c>
      <c r="D251">
        <f>Raw_Inventory!E251</f>
        <v>156</v>
      </c>
      <c r="E251">
        <f>Raw_Inventory!F251</f>
        <v>66</v>
      </c>
      <c r="F251">
        <f>Raw_Inventory!G251</f>
        <v>500</v>
      </c>
      <c r="G251">
        <f t="shared" si="9"/>
        <v>90</v>
      </c>
      <c r="H251">
        <f t="shared" si="10"/>
        <v>45000</v>
      </c>
      <c r="I251" t="str">
        <f t="shared" si="11"/>
        <v>OK</v>
      </c>
    </row>
    <row r="252" spans="1:9" x14ac:dyDescent="0.25">
      <c r="A252" t="str">
        <f>Raw_Inventory!A252</f>
        <v>P1251</v>
      </c>
      <c r="B252" t="str">
        <f>Raw_Inventory!B252</f>
        <v>SSD</v>
      </c>
      <c r="C252" t="str">
        <f>Raw_Inventory!D252</f>
        <v>Canon</v>
      </c>
      <c r="D252">
        <f>Raw_Inventory!E252</f>
        <v>38</v>
      </c>
      <c r="E252">
        <f>Raw_Inventory!F252</f>
        <v>15</v>
      </c>
      <c r="F252">
        <f>Raw_Inventory!G252</f>
        <v>30000</v>
      </c>
      <c r="G252">
        <f t="shared" si="9"/>
        <v>23</v>
      </c>
      <c r="H252">
        <f t="shared" si="10"/>
        <v>690000</v>
      </c>
      <c r="I252" t="str">
        <f t="shared" si="11"/>
        <v>OK</v>
      </c>
    </row>
    <row r="253" spans="1:9" x14ac:dyDescent="0.25">
      <c r="A253" t="str">
        <f>Raw_Inventory!A253</f>
        <v>P1252</v>
      </c>
      <c r="B253" t="str">
        <f>Raw_Inventory!B253</f>
        <v>Monitor</v>
      </c>
      <c r="C253" t="str">
        <f>Raw_Inventory!D253</f>
        <v>Lenovo</v>
      </c>
      <c r="D253">
        <f>Raw_Inventory!E253</f>
        <v>74</v>
      </c>
      <c r="E253">
        <f>Raw_Inventory!F253</f>
        <v>60</v>
      </c>
      <c r="F253">
        <f>Raw_Inventory!G253</f>
        <v>12000</v>
      </c>
      <c r="G253">
        <f t="shared" si="9"/>
        <v>14</v>
      </c>
      <c r="H253">
        <f t="shared" si="10"/>
        <v>168000</v>
      </c>
      <c r="I253" t="str">
        <f t="shared" si="11"/>
        <v>OK</v>
      </c>
    </row>
    <row r="254" spans="1:9" x14ac:dyDescent="0.25">
      <c r="A254" t="str">
        <f>Raw_Inventory!A254</f>
        <v>P1253</v>
      </c>
      <c r="B254" t="str">
        <f>Raw_Inventory!B254</f>
        <v>Printer</v>
      </c>
      <c r="C254" t="str">
        <f>Raw_Inventory!D254</f>
        <v>Acer</v>
      </c>
      <c r="D254">
        <f>Raw_Inventory!E254</f>
        <v>91</v>
      </c>
      <c r="E254">
        <f>Raw_Inventory!F254</f>
        <v>131</v>
      </c>
      <c r="F254">
        <f>Raw_Inventory!G254</f>
        <v>30000</v>
      </c>
      <c r="G254">
        <f t="shared" si="9"/>
        <v>-40</v>
      </c>
      <c r="H254">
        <f t="shared" si="10"/>
        <v>-1200000</v>
      </c>
      <c r="I254" t="str">
        <f t="shared" si="11"/>
        <v>Low Stock</v>
      </c>
    </row>
    <row r="255" spans="1:9" x14ac:dyDescent="0.25">
      <c r="A255" t="str">
        <f>Raw_Inventory!A255</f>
        <v>P1254</v>
      </c>
      <c r="B255" t="str">
        <f>Raw_Inventory!B255</f>
        <v>Webcam</v>
      </c>
      <c r="C255" t="str">
        <f>Raw_Inventory!D255</f>
        <v>Dell</v>
      </c>
      <c r="D255">
        <f>Raw_Inventory!E255</f>
        <v>125</v>
      </c>
      <c r="E255">
        <f>Raw_Inventory!F255</f>
        <v>15</v>
      </c>
      <c r="F255">
        <f>Raw_Inventory!G255</f>
        <v>1500</v>
      </c>
      <c r="G255">
        <f t="shared" si="9"/>
        <v>110</v>
      </c>
      <c r="H255">
        <f t="shared" si="10"/>
        <v>165000</v>
      </c>
      <c r="I255" t="str">
        <f t="shared" si="11"/>
        <v>OK</v>
      </c>
    </row>
    <row r="256" spans="1:9" x14ac:dyDescent="0.25">
      <c r="A256" t="str">
        <f>Raw_Inventory!A256</f>
        <v>P1255</v>
      </c>
      <c r="B256" t="str">
        <f>Raw_Inventory!B256</f>
        <v>SSD</v>
      </c>
      <c r="C256" t="str">
        <f>Raw_Inventory!D256</f>
        <v>Seagate</v>
      </c>
      <c r="D256">
        <f>Raw_Inventory!E256</f>
        <v>88</v>
      </c>
      <c r="E256">
        <f>Raw_Inventory!F256</f>
        <v>131</v>
      </c>
      <c r="F256">
        <f>Raw_Inventory!G256</f>
        <v>1500</v>
      </c>
      <c r="G256">
        <f t="shared" si="9"/>
        <v>-43</v>
      </c>
      <c r="H256">
        <f t="shared" si="10"/>
        <v>-64500</v>
      </c>
      <c r="I256" t="str">
        <f t="shared" si="11"/>
        <v>Low Stock</v>
      </c>
    </row>
    <row r="257" spans="1:9" x14ac:dyDescent="0.25">
      <c r="A257" t="str">
        <f>Raw_Inventory!A257</f>
        <v>P1256</v>
      </c>
      <c r="B257" t="str">
        <f>Raw_Inventory!B257</f>
        <v>Laptop</v>
      </c>
      <c r="C257" t="str">
        <f>Raw_Inventory!D257</f>
        <v>Dell</v>
      </c>
      <c r="D257">
        <f>Raw_Inventory!E257</f>
        <v>45</v>
      </c>
      <c r="E257">
        <f>Raw_Inventory!F257</f>
        <v>55</v>
      </c>
      <c r="F257">
        <f>Raw_Inventory!G257</f>
        <v>1500</v>
      </c>
      <c r="G257">
        <f t="shared" si="9"/>
        <v>-10</v>
      </c>
      <c r="H257">
        <f t="shared" si="10"/>
        <v>-15000</v>
      </c>
      <c r="I257" t="str">
        <f t="shared" si="11"/>
        <v>Low Stock</v>
      </c>
    </row>
    <row r="258" spans="1:9" x14ac:dyDescent="0.25">
      <c r="A258" t="str">
        <f>Raw_Inventory!A258</f>
        <v>P1257</v>
      </c>
      <c r="B258" t="str">
        <f>Raw_Inventory!B258</f>
        <v>Monitor</v>
      </c>
      <c r="C258" t="str">
        <f>Raw_Inventory!D258</f>
        <v>Samsung</v>
      </c>
      <c r="D258">
        <f>Raw_Inventory!E258</f>
        <v>163</v>
      </c>
      <c r="E258">
        <f>Raw_Inventory!F258</f>
        <v>135</v>
      </c>
      <c r="F258">
        <f>Raw_Inventory!G258</f>
        <v>30000</v>
      </c>
      <c r="G258">
        <f t="shared" si="9"/>
        <v>28</v>
      </c>
      <c r="H258">
        <f t="shared" si="10"/>
        <v>840000</v>
      </c>
      <c r="I258" t="str">
        <f t="shared" si="11"/>
        <v>OK</v>
      </c>
    </row>
    <row r="259" spans="1:9" x14ac:dyDescent="0.25">
      <c r="A259" t="str">
        <f>Raw_Inventory!A259</f>
        <v>P1258</v>
      </c>
      <c r="B259" t="str">
        <f>Raw_Inventory!B259</f>
        <v>SSD</v>
      </c>
      <c r="C259" t="str">
        <f>Raw_Inventory!D259</f>
        <v>Logitech</v>
      </c>
      <c r="D259">
        <f>Raw_Inventory!E259</f>
        <v>30</v>
      </c>
      <c r="E259">
        <f>Raw_Inventory!F259</f>
        <v>49</v>
      </c>
      <c r="F259">
        <f>Raw_Inventory!G259</f>
        <v>1200</v>
      </c>
      <c r="G259">
        <f t="shared" ref="G259:G322" si="12" xml:space="preserve"> D259 - E259</f>
        <v>-19</v>
      </c>
      <c r="H259">
        <f t="shared" ref="H259:H322" si="13" xml:space="preserve"> G259 * F259</f>
        <v>-22800</v>
      </c>
      <c r="I259" t="str">
        <f t="shared" ref="I259:I322" si="14">IF(G259&lt;10,"Low Stock","OK")</f>
        <v>Low Stock</v>
      </c>
    </row>
    <row r="260" spans="1:9" x14ac:dyDescent="0.25">
      <c r="A260" t="str">
        <f>Raw_Inventory!A260</f>
        <v>P1259</v>
      </c>
      <c r="B260" t="str">
        <f>Raw_Inventory!B260</f>
        <v>Webcam</v>
      </c>
      <c r="C260" t="str">
        <f>Raw_Inventory!D260</f>
        <v>Seagate</v>
      </c>
      <c r="D260">
        <f>Raw_Inventory!E260</f>
        <v>41</v>
      </c>
      <c r="E260">
        <f>Raw_Inventory!F260</f>
        <v>83</v>
      </c>
      <c r="F260">
        <f>Raw_Inventory!G260</f>
        <v>1500</v>
      </c>
      <c r="G260">
        <f t="shared" si="12"/>
        <v>-42</v>
      </c>
      <c r="H260">
        <f t="shared" si="13"/>
        <v>-63000</v>
      </c>
      <c r="I260" t="str">
        <f t="shared" si="14"/>
        <v>Low Stock</v>
      </c>
    </row>
    <row r="261" spans="1:9" x14ac:dyDescent="0.25">
      <c r="A261" t="str">
        <f>Raw_Inventory!A261</f>
        <v>P1260</v>
      </c>
      <c r="B261" t="str">
        <f>Raw_Inventory!B261</f>
        <v>Monitor</v>
      </c>
      <c r="C261" t="str">
        <f>Raw_Inventory!D261</f>
        <v>Logitech</v>
      </c>
      <c r="D261">
        <f>Raw_Inventory!E261</f>
        <v>42</v>
      </c>
      <c r="E261">
        <f>Raw_Inventory!F261</f>
        <v>0</v>
      </c>
      <c r="F261">
        <f>Raw_Inventory!G261</f>
        <v>500</v>
      </c>
      <c r="G261">
        <f t="shared" si="12"/>
        <v>42</v>
      </c>
      <c r="H261">
        <f t="shared" si="13"/>
        <v>21000</v>
      </c>
      <c r="I261" t="str">
        <f t="shared" si="14"/>
        <v>OK</v>
      </c>
    </row>
    <row r="262" spans="1:9" x14ac:dyDescent="0.25">
      <c r="A262" t="str">
        <f>Raw_Inventory!A262</f>
        <v>P1261</v>
      </c>
      <c r="B262" t="str">
        <f>Raw_Inventory!B262</f>
        <v>Keyboard</v>
      </c>
      <c r="C262" t="str">
        <f>Raw_Inventory!D262</f>
        <v>Canon</v>
      </c>
      <c r="D262">
        <f>Raw_Inventory!E262</f>
        <v>194</v>
      </c>
      <c r="E262">
        <f>Raw_Inventory!F262</f>
        <v>6</v>
      </c>
      <c r="F262">
        <f>Raw_Inventory!G262</f>
        <v>30000</v>
      </c>
      <c r="G262">
        <f t="shared" si="12"/>
        <v>188</v>
      </c>
      <c r="H262">
        <f t="shared" si="13"/>
        <v>5640000</v>
      </c>
      <c r="I262" t="str">
        <f t="shared" si="14"/>
        <v>OK</v>
      </c>
    </row>
    <row r="263" spans="1:9" x14ac:dyDescent="0.25">
      <c r="A263" t="str">
        <f>Raw_Inventory!A263</f>
        <v>P1262</v>
      </c>
      <c r="B263" t="str">
        <f>Raw_Inventory!B263</f>
        <v>Router</v>
      </c>
      <c r="C263" t="str">
        <f>Raw_Inventory!D263</f>
        <v>Seagate</v>
      </c>
      <c r="D263">
        <f>Raw_Inventory!E263</f>
        <v>36</v>
      </c>
      <c r="E263">
        <f>Raw_Inventory!F263</f>
        <v>114</v>
      </c>
      <c r="F263">
        <f>Raw_Inventory!G263</f>
        <v>5000</v>
      </c>
      <c r="G263">
        <f t="shared" si="12"/>
        <v>-78</v>
      </c>
      <c r="H263">
        <f t="shared" si="13"/>
        <v>-390000</v>
      </c>
      <c r="I263" t="str">
        <f t="shared" si="14"/>
        <v>Low Stock</v>
      </c>
    </row>
    <row r="264" spans="1:9" x14ac:dyDescent="0.25">
      <c r="A264" t="str">
        <f>Raw_Inventory!A264</f>
        <v>P1263</v>
      </c>
      <c r="B264" t="str">
        <f>Raw_Inventory!B264</f>
        <v>Headphones</v>
      </c>
      <c r="C264" t="str">
        <f>Raw_Inventory!D264</f>
        <v>Acer</v>
      </c>
      <c r="D264">
        <f>Raw_Inventory!E264</f>
        <v>154</v>
      </c>
      <c r="E264">
        <f>Raw_Inventory!F264</f>
        <v>145</v>
      </c>
      <c r="F264">
        <f>Raw_Inventory!G264</f>
        <v>1500</v>
      </c>
      <c r="G264">
        <f t="shared" si="12"/>
        <v>9</v>
      </c>
      <c r="H264">
        <f t="shared" si="13"/>
        <v>13500</v>
      </c>
      <c r="I264" t="str">
        <f t="shared" si="14"/>
        <v>Low Stock</v>
      </c>
    </row>
    <row r="265" spans="1:9" x14ac:dyDescent="0.25">
      <c r="A265" t="str">
        <f>Raw_Inventory!A265</f>
        <v>P1264</v>
      </c>
      <c r="B265" t="str">
        <f>Raw_Inventory!B265</f>
        <v>Monitor</v>
      </c>
      <c r="C265" t="str">
        <f>Raw_Inventory!D265</f>
        <v>Lenovo</v>
      </c>
      <c r="D265">
        <f>Raw_Inventory!E265</f>
        <v>38</v>
      </c>
      <c r="E265">
        <f>Raw_Inventory!F265</f>
        <v>9</v>
      </c>
      <c r="F265">
        <f>Raw_Inventory!G265</f>
        <v>2500</v>
      </c>
      <c r="G265">
        <f t="shared" si="12"/>
        <v>29</v>
      </c>
      <c r="H265">
        <f t="shared" si="13"/>
        <v>72500</v>
      </c>
      <c r="I265" t="str">
        <f t="shared" si="14"/>
        <v>OK</v>
      </c>
    </row>
    <row r="266" spans="1:9" x14ac:dyDescent="0.25">
      <c r="A266" t="str">
        <f>Raw_Inventory!A266</f>
        <v>P1265</v>
      </c>
      <c r="B266" t="str">
        <f>Raw_Inventory!B266</f>
        <v>SSD</v>
      </c>
      <c r="C266" t="str">
        <f>Raw_Inventory!D266</f>
        <v>Dell</v>
      </c>
      <c r="D266">
        <f>Raw_Inventory!E266</f>
        <v>62</v>
      </c>
      <c r="E266">
        <f>Raw_Inventory!F266</f>
        <v>75</v>
      </c>
      <c r="F266">
        <f>Raw_Inventory!G266</f>
        <v>800</v>
      </c>
      <c r="G266">
        <f t="shared" si="12"/>
        <v>-13</v>
      </c>
      <c r="H266">
        <f t="shared" si="13"/>
        <v>-10400</v>
      </c>
      <c r="I266" t="str">
        <f t="shared" si="14"/>
        <v>Low Stock</v>
      </c>
    </row>
    <row r="267" spans="1:9" x14ac:dyDescent="0.25">
      <c r="A267" t="str">
        <f>Raw_Inventory!A267</f>
        <v>P1266</v>
      </c>
      <c r="B267" t="str">
        <f>Raw_Inventory!B267</f>
        <v>Webcam</v>
      </c>
      <c r="C267" t="str">
        <f>Raw_Inventory!D267</f>
        <v>Canon</v>
      </c>
      <c r="D267">
        <f>Raw_Inventory!E267</f>
        <v>104</v>
      </c>
      <c r="E267">
        <f>Raw_Inventory!F267</f>
        <v>125</v>
      </c>
      <c r="F267">
        <f>Raw_Inventory!G267</f>
        <v>500</v>
      </c>
      <c r="G267">
        <f t="shared" si="12"/>
        <v>-21</v>
      </c>
      <c r="H267">
        <f t="shared" si="13"/>
        <v>-10500</v>
      </c>
      <c r="I267" t="str">
        <f t="shared" si="14"/>
        <v>Low Stock</v>
      </c>
    </row>
    <row r="268" spans="1:9" x14ac:dyDescent="0.25">
      <c r="A268" t="str">
        <f>Raw_Inventory!A268</f>
        <v>P1267</v>
      </c>
      <c r="B268" t="str">
        <f>Raw_Inventory!B268</f>
        <v>Router</v>
      </c>
      <c r="C268" t="str">
        <f>Raw_Inventory!D268</f>
        <v>HP</v>
      </c>
      <c r="D268">
        <f>Raw_Inventory!E268</f>
        <v>75</v>
      </c>
      <c r="E268">
        <f>Raw_Inventory!F268</f>
        <v>111</v>
      </c>
      <c r="F268">
        <f>Raw_Inventory!G268</f>
        <v>2500</v>
      </c>
      <c r="G268">
        <f t="shared" si="12"/>
        <v>-36</v>
      </c>
      <c r="H268">
        <f t="shared" si="13"/>
        <v>-90000</v>
      </c>
      <c r="I268" t="str">
        <f t="shared" si="14"/>
        <v>Low Stock</v>
      </c>
    </row>
    <row r="269" spans="1:9" x14ac:dyDescent="0.25">
      <c r="A269" t="str">
        <f>Raw_Inventory!A269</f>
        <v>P1268</v>
      </c>
      <c r="B269" t="str">
        <f>Raw_Inventory!B269</f>
        <v>Tablet</v>
      </c>
      <c r="C269" t="str">
        <f>Raw_Inventory!D269</f>
        <v>Asus</v>
      </c>
      <c r="D269">
        <f>Raw_Inventory!E269</f>
        <v>26</v>
      </c>
      <c r="E269">
        <f>Raw_Inventory!F269</f>
        <v>45</v>
      </c>
      <c r="F269">
        <f>Raw_Inventory!G269</f>
        <v>800</v>
      </c>
      <c r="G269">
        <f t="shared" si="12"/>
        <v>-19</v>
      </c>
      <c r="H269">
        <f t="shared" si="13"/>
        <v>-15200</v>
      </c>
      <c r="I269" t="str">
        <f t="shared" si="14"/>
        <v>Low Stock</v>
      </c>
    </row>
    <row r="270" spans="1:9" x14ac:dyDescent="0.25">
      <c r="A270" t="str">
        <f>Raw_Inventory!A270</f>
        <v>P1269</v>
      </c>
      <c r="B270" t="str">
        <f>Raw_Inventory!B270</f>
        <v>Tablet</v>
      </c>
      <c r="C270" t="str">
        <f>Raw_Inventory!D270</f>
        <v>Asus</v>
      </c>
      <c r="D270">
        <f>Raw_Inventory!E270</f>
        <v>50</v>
      </c>
      <c r="E270">
        <f>Raw_Inventory!F270</f>
        <v>82</v>
      </c>
      <c r="F270">
        <f>Raw_Inventory!G270</f>
        <v>500</v>
      </c>
      <c r="G270">
        <f t="shared" si="12"/>
        <v>-32</v>
      </c>
      <c r="H270">
        <f t="shared" si="13"/>
        <v>-16000</v>
      </c>
      <c r="I270" t="str">
        <f t="shared" si="14"/>
        <v>Low Stock</v>
      </c>
    </row>
    <row r="271" spans="1:9" x14ac:dyDescent="0.25">
      <c r="A271" t="str">
        <f>Raw_Inventory!A271</f>
        <v>P1270</v>
      </c>
      <c r="B271" t="str">
        <f>Raw_Inventory!B271</f>
        <v>Webcam</v>
      </c>
      <c r="C271" t="str">
        <f>Raw_Inventory!D271</f>
        <v>TP-Link</v>
      </c>
      <c r="D271">
        <f>Raw_Inventory!E271</f>
        <v>181</v>
      </c>
      <c r="E271">
        <f>Raw_Inventory!F271</f>
        <v>60</v>
      </c>
      <c r="F271">
        <f>Raw_Inventory!G271</f>
        <v>2500</v>
      </c>
      <c r="G271">
        <f t="shared" si="12"/>
        <v>121</v>
      </c>
      <c r="H271">
        <f t="shared" si="13"/>
        <v>302500</v>
      </c>
      <c r="I271" t="str">
        <f t="shared" si="14"/>
        <v>OK</v>
      </c>
    </row>
    <row r="272" spans="1:9" x14ac:dyDescent="0.25">
      <c r="A272" t="str">
        <f>Raw_Inventory!A272</f>
        <v>P1271</v>
      </c>
      <c r="B272" t="str">
        <f>Raw_Inventory!B272</f>
        <v>Printer</v>
      </c>
      <c r="C272" t="str">
        <f>Raw_Inventory!D272</f>
        <v>TP-Link</v>
      </c>
      <c r="D272">
        <f>Raw_Inventory!E272</f>
        <v>62</v>
      </c>
      <c r="E272">
        <f>Raw_Inventory!F272</f>
        <v>44</v>
      </c>
      <c r="F272">
        <f>Raw_Inventory!G272</f>
        <v>8000</v>
      </c>
      <c r="G272">
        <f t="shared" si="12"/>
        <v>18</v>
      </c>
      <c r="H272">
        <f t="shared" si="13"/>
        <v>144000</v>
      </c>
      <c r="I272" t="str">
        <f t="shared" si="14"/>
        <v>OK</v>
      </c>
    </row>
    <row r="273" spans="1:9" x14ac:dyDescent="0.25">
      <c r="A273" t="str">
        <f>Raw_Inventory!A273</f>
        <v>P1272</v>
      </c>
      <c r="B273" t="str">
        <f>Raw_Inventory!B273</f>
        <v>Router</v>
      </c>
      <c r="C273" t="str">
        <f>Raw_Inventory!D273</f>
        <v>Samsung</v>
      </c>
      <c r="D273">
        <f>Raw_Inventory!E273</f>
        <v>119</v>
      </c>
      <c r="E273">
        <f>Raw_Inventory!F273</f>
        <v>33</v>
      </c>
      <c r="F273">
        <f>Raw_Inventory!G273</f>
        <v>5000</v>
      </c>
      <c r="G273">
        <f t="shared" si="12"/>
        <v>86</v>
      </c>
      <c r="H273">
        <f t="shared" si="13"/>
        <v>430000</v>
      </c>
      <c r="I273" t="str">
        <f t="shared" si="14"/>
        <v>OK</v>
      </c>
    </row>
    <row r="274" spans="1:9" x14ac:dyDescent="0.25">
      <c r="A274" t="str">
        <f>Raw_Inventory!A274</f>
        <v>P1273</v>
      </c>
      <c r="B274" t="str">
        <f>Raw_Inventory!B274</f>
        <v>Mouse</v>
      </c>
      <c r="C274" t="str">
        <f>Raw_Inventory!D274</f>
        <v>Logitech</v>
      </c>
      <c r="D274">
        <f>Raw_Inventory!E274</f>
        <v>188</v>
      </c>
      <c r="E274">
        <f>Raw_Inventory!F274</f>
        <v>79</v>
      </c>
      <c r="F274">
        <f>Raw_Inventory!G274</f>
        <v>500</v>
      </c>
      <c r="G274">
        <f t="shared" si="12"/>
        <v>109</v>
      </c>
      <c r="H274">
        <f t="shared" si="13"/>
        <v>54500</v>
      </c>
      <c r="I274" t="str">
        <f t="shared" si="14"/>
        <v>OK</v>
      </c>
    </row>
    <row r="275" spans="1:9" x14ac:dyDescent="0.25">
      <c r="A275" t="str">
        <f>Raw_Inventory!A275</f>
        <v>P1274</v>
      </c>
      <c r="B275" t="str">
        <f>Raw_Inventory!B275</f>
        <v>SSD</v>
      </c>
      <c r="C275" t="str">
        <f>Raw_Inventory!D275</f>
        <v>Asus</v>
      </c>
      <c r="D275">
        <f>Raw_Inventory!E275</f>
        <v>71</v>
      </c>
      <c r="E275">
        <f>Raw_Inventory!F275</f>
        <v>1</v>
      </c>
      <c r="F275">
        <f>Raw_Inventory!G275</f>
        <v>30000</v>
      </c>
      <c r="G275">
        <f t="shared" si="12"/>
        <v>70</v>
      </c>
      <c r="H275">
        <f t="shared" si="13"/>
        <v>2100000</v>
      </c>
      <c r="I275" t="str">
        <f t="shared" si="14"/>
        <v>OK</v>
      </c>
    </row>
    <row r="276" spans="1:9" x14ac:dyDescent="0.25">
      <c r="A276" t="str">
        <f>Raw_Inventory!A276</f>
        <v>P1275</v>
      </c>
      <c r="B276" t="str">
        <f>Raw_Inventory!B276</f>
        <v>SSD</v>
      </c>
      <c r="C276" t="str">
        <f>Raw_Inventory!D276</f>
        <v>Acer</v>
      </c>
      <c r="D276">
        <f>Raw_Inventory!E276</f>
        <v>161</v>
      </c>
      <c r="E276">
        <f>Raw_Inventory!F276</f>
        <v>80</v>
      </c>
      <c r="F276">
        <f>Raw_Inventory!G276</f>
        <v>1500</v>
      </c>
      <c r="G276">
        <f t="shared" si="12"/>
        <v>81</v>
      </c>
      <c r="H276">
        <f t="shared" si="13"/>
        <v>121500</v>
      </c>
      <c r="I276" t="str">
        <f t="shared" si="14"/>
        <v>OK</v>
      </c>
    </row>
    <row r="277" spans="1:9" x14ac:dyDescent="0.25">
      <c r="A277" t="str">
        <f>Raw_Inventory!A277</f>
        <v>P1276</v>
      </c>
      <c r="B277" t="str">
        <f>Raw_Inventory!B277</f>
        <v>Laptop</v>
      </c>
      <c r="C277" t="str">
        <f>Raw_Inventory!D277</f>
        <v>TP-Link</v>
      </c>
      <c r="D277">
        <f>Raw_Inventory!E277</f>
        <v>43</v>
      </c>
      <c r="E277">
        <f>Raw_Inventory!F277</f>
        <v>141</v>
      </c>
      <c r="F277">
        <f>Raw_Inventory!G277</f>
        <v>800</v>
      </c>
      <c r="G277">
        <f t="shared" si="12"/>
        <v>-98</v>
      </c>
      <c r="H277">
        <f t="shared" si="13"/>
        <v>-78400</v>
      </c>
      <c r="I277" t="str">
        <f t="shared" si="14"/>
        <v>Low Stock</v>
      </c>
    </row>
    <row r="278" spans="1:9" x14ac:dyDescent="0.25">
      <c r="A278" t="str">
        <f>Raw_Inventory!A278</f>
        <v>P1277</v>
      </c>
      <c r="B278" t="str">
        <f>Raw_Inventory!B278</f>
        <v>Router</v>
      </c>
      <c r="C278" t="str">
        <f>Raw_Inventory!D278</f>
        <v>Canon</v>
      </c>
      <c r="D278">
        <f>Raw_Inventory!E278</f>
        <v>24</v>
      </c>
      <c r="E278">
        <f>Raw_Inventory!F278</f>
        <v>107</v>
      </c>
      <c r="F278">
        <f>Raw_Inventory!G278</f>
        <v>12000</v>
      </c>
      <c r="G278">
        <f t="shared" si="12"/>
        <v>-83</v>
      </c>
      <c r="H278">
        <f t="shared" si="13"/>
        <v>-996000</v>
      </c>
      <c r="I278" t="str">
        <f t="shared" si="14"/>
        <v>Low Stock</v>
      </c>
    </row>
    <row r="279" spans="1:9" x14ac:dyDescent="0.25">
      <c r="A279" t="str">
        <f>Raw_Inventory!A279</f>
        <v>P1278</v>
      </c>
      <c r="B279" t="str">
        <f>Raw_Inventory!B279</f>
        <v>Mouse</v>
      </c>
      <c r="C279" t="str">
        <f>Raw_Inventory!D279</f>
        <v>Canon</v>
      </c>
      <c r="D279">
        <f>Raw_Inventory!E279</f>
        <v>197</v>
      </c>
      <c r="E279">
        <f>Raw_Inventory!F279</f>
        <v>12</v>
      </c>
      <c r="F279">
        <f>Raw_Inventory!G279</f>
        <v>1500</v>
      </c>
      <c r="G279">
        <f t="shared" si="12"/>
        <v>185</v>
      </c>
      <c r="H279">
        <f t="shared" si="13"/>
        <v>277500</v>
      </c>
      <c r="I279" t="str">
        <f t="shared" si="14"/>
        <v>OK</v>
      </c>
    </row>
    <row r="280" spans="1:9" x14ac:dyDescent="0.25">
      <c r="A280" t="str">
        <f>Raw_Inventory!A280</f>
        <v>P1279</v>
      </c>
      <c r="B280" t="str">
        <f>Raw_Inventory!B280</f>
        <v>Printer</v>
      </c>
      <c r="C280" t="str">
        <f>Raw_Inventory!D280</f>
        <v>Samsung</v>
      </c>
      <c r="D280">
        <f>Raw_Inventory!E280</f>
        <v>197</v>
      </c>
      <c r="E280">
        <f>Raw_Inventory!F280</f>
        <v>16</v>
      </c>
      <c r="F280">
        <f>Raw_Inventory!G280</f>
        <v>800</v>
      </c>
      <c r="G280">
        <f t="shared" si="12"/>
        <v>181</v>
      </c>
      <c r="H280">
        <f t="shared" si="13"/>
        <v>144800</v>
      </c>
      <c r="I280" t="str">
        <f t="shared" si="14"/>
        <v>OK</v>
      </c>
    </row>
    <row r="281" spans="1:9" x14ac:dyDescent="0.25">
      <c r="A281" t="str">
        <f>Raw_Inventory!A281</f>
        <v>P1280</v>
      </c>
      <c r="B281" t="str">
        <f>Raw_Inventory!B281</f>
        <v>Mouse</v>
      </c>
      <c r="C281" t="str">
        <f>Raw_Inventory!D281</f>
        <v>Logitech</v>
      </c>
      <c r="D281">
        <f>Raw_Inventory!E281</f>
        <v>147</v>
      </c>
      <c r="E281">
        <f>Raw_Inventory!F281</f>
        <v>75</v>
      </c>
      <c r="F281">
        <f>Raw_Inventory!G281</f>
        <v>8000</v>
      </c>
      <c r="G281">
        <f t="shared" si="12"/>
        <v>72</v>
      </c>
      <c r="H281">
        <f t="shared" si="13"/>
        <v>576000</v>
      </c>
      <c r="I281" t="str">
        <f t="shared" si="14"/>
        <v>OK</v>
      </c>
    </row>
    <row r="282" spans="1:9" x14ac:dyDescent="0.25">
      <c r="A282" t="str">
        <f>Raw_Inventory!A282</f>
        <v>P1281</v>
      </c>
      <c r="B282" t="str">
        <f>Raw_Inventory!B282</f>
        <v>Headphones</v>
      </c>
      <c r="C282" t="str">
        <f>Raw_Inventory!D282</f>
        <v>Seagate</v>
      </c>
      <c r="D282">
        <f>Raw_Inventory!E282</f>
        <v>47</v>
      </c>
      <c r="E282">
        <f>Raw_Inventory!F282</f>
        <v>141</v>
      </c>
      <c r="F282">
        <f>Raw_Inventory!G282</f>
        <v>1200</v>
      </c>
      <c r="G282">
        <f t="shared" si="12"/>
        <v>-94</v>
      </c>
      <c r="H282">
        <f t="shared" si="13"/>
        <v>-112800</v>
      </c>
      <c r="I282" t="str">
        <f t="shared" si="14"/>
        <v>Low Stock</v>
      </c>
    </row>
    <row r="283" spans="1:9" x14ac:dyDescent="0.25">
      <c r="A283" t="str">
        <f>Raw_Inventory!A283</f>
        <v>P1282</v>
      </c>
      <c r="B283" t="str">
        <f>Raw_Inventory!B283</f>
        <v>Laptop</v>
      </c>
      <c r="C283" t="str">
        <f>Raw_Inventory!D283</f>
        <v>Acer</v>
      </c>
      <c r="D283">
        <f>Raw_Inventory!E283</f>
        <v>175</v>
      </c>
      <c r="E283">
        <f>Raw_Inventory!F283</f>
        <v>61</v>
      </c>
      <c r="F283">
        <f>Raw_Inventory!G283</f>
        <v>5000</v>
      </c>
      <c r="G283">
        <f t="shared" si="12"/>
        <v>114</v>
      </c>
      <c r="H283">
        <f t="shared" si="13"/>
        <v>570000</v>
      </c>
      <c r="I283" t="str">
        <f t="shared" si="14"/>
        <v>OK</v>
      </c>
    </row>
    <row r="284" spans="1:9" x14ac:dyDescent="0.25">
      <c r="A284" t="str">
        <f>Raw_Inventory!A284</f>
        <v>P1283</v>
      </c>
      <c r="B284" t="str">
        <f>Raw_Inventory!B284</f>
        <v>Tablet</v>
      </c>
      <c r="C284" t="str">
        <f>Raw_Inventory!D284</f>
        <v>Samsung</v>
      </c>
      <c r="D284">
        <f>Raw_Inventory!E284</f>
        <v>187</v>
      </c>
      <c r="E284">
        <f>Raw_Inventory!F284</f>
        <v>90</v>
      </c>
      <c r="F284">
        <f>Raw_Inventory!G284</f>
        <v>800</v>
      </c>
      <c r="G284">
        <f t="shared" si="12"/>
        <v>97</v>
      </c>
      <c r="H284">
        <f t="shared" si="13"/>
        <v>77600</v>
      </c>
      <c r="I284" t="str">
        <f t="shared" si="14"/>
        <v>OK</v>
      </c>
    </row>
    <row r="285" spans="1:9" x14ac:dyDescent="0.25">
      <c r="A285" t="str">
        <f>Raw_Inventory!A285</f>
        <v>P1284</v>
      </c>
      <c r="B285" t="str">
        <f>Raw_Inventory!B285</f>
        <v>Router</v>
      </c>
      <c r="C285" t="str">
        <f>Raw_Inventory!D285</f>
        <v>Acer</v>
      </c>
      <c r="D285">
        <f>Raw_Inventory!E285</f>
        <v>130</v>
      </c>
      <c r="E285">
        <f>Raw_Inventory!F285</f>
        <v>107</v>
      </c>
      <c r="F285">
        <f>Raw_Inventory!G285</f>
        <v>500</v>
      </c>
      <c r="G285">
        <f t="shared" si="12"/>
        <v>23</v>
      </c>
      <c r="H285">
        <f t="shared" si="13"/>
        <v>11500</v>
      </c>
      <c r="I285" t="str">
        <f t="shared" si="14"/>
        <v>OK</v>
      </c>
    </row>
    <row r="286" spans="1:9" x14ac:dyDescent="0.25">
      <c r="A286" t="str">
        <f>Raw_Inventory!A286</f>
        <v>P1285</v>
      </c>
      <c r="B286" t="str">
        <f>Raw_Inventory!B286</f>
        <v>Mouse</v>
      </c>
      <c r="C286" t="str">
        <f>Raw_Inventory!D286</f>
        <v>Seagate</v>
      </c>
      <c r="D286">
        <f>Raw_Inventory!E286</f>
        <v>123</v>
      </c>
      <c r="E286">
        <f>Raw_Inventory!F286</f>
        <v>142</v>
      </c>
      <c r="F286">
        <f>Raw_Inventory!G286</f>
        <v>1500</v>
      </c>
      <c r="G286">
        <f t="shared" si="12"/>
        <v>-19</v>
      </c>
      <c r="H286">
        <f t="shared" si="13"/>
        <v>-28500</v>
      </c>
      <c r="I286" t="str">
        <f t="shared" si="14"/>
        <v>Low Stock</v>
      </c>
    </row>
    <row r="287" spans="1:9" x14ac:dyDescent="0.25">
      <c r="A287" t="str">
        <f>Raw_Inventory!A287</f>
        <v>P1286</v>
      </c>
      <c r="B287" t="str">
        <f>Raw_Inventory!B287</f>
        <v>Printer</v>
      </c>
      <c r="C287" t="str">
        <f>Raw_Inventory!D287</f>
        <v>TP-Link</v>
      </c>
      <c r="D287">
        <f>Raw_Inventory!E287</f>
        <v>183</v>
      </c>
      <c r="E287">
        <f>Raw_Inventory!F287</f>
        <v>130</v>
      </c>
      <c r="F287">
        <f>Raw_Inventory!G287</f>
        <v>55000</v>
      </c>
      <c r="G287">
        <f t="shared" si="12"/>
        <v>53</v>
      </c>
      <c r="H287">
        <f t="shared" si="13"/>
        <v>2915000</v>
      </c>
      <c r="I287" t="str">
        <f t="shared" si="14"/>
        <v>OK</v>
      </c>
    </row>
    <row r="288" spans="1:9" x14ac:dyDescent="0.25">
      <c r="A288" t="str">
        <f>Raw_Inventory!A288</f>
        <v>P1287</v>
      </c>
      <c r="B288" t="str">
        <f>Raw_Inventory!B288</f>
        <v>Monitor</v>
      </c>
      <c r="C288" t="str">
        <f>Raw_Inventory!D288</f>
        <v>Acer</v>
      </c>
      <c r="D288">
        <f>Raw_Inventory!E288</f>
        <v>144</v>
      </c>
      <c r="E288">
        <f>Raw_Inventory!F288</f>
        <v>147</v>
      </c>
      <c r="F288">
        <f>Raw_Inventory!G288</f>
        <v>30000</v>
      </c>
      <c r="G288">
        <f t="shared" si="12"/>
        <v>-3</v>
      </c>
      <c r="H288">
        <f t="shared" si="13"/>
        <v>-90000</v>
      </c>
      <c r="I288" t="str">
        <f t="shared" si="14"/>
        <v>Low Stock</v>
      </c>
    </row>
    <row r="289" spans="1:9" x14ac:dyDescent="0.25">
      <c r="A289" t="str">
        <f>Raw_Inventory!A289</f>
        <v>P1288</v>
      </c>
      <c r="B289" t="str">
        <f>Raw_Inventory!B289</f>
        <v>Monitor</v>
      </c>
      <c r="C289" t="str">
        <f>Raw_Inventory!D289</f>
        <v>TP-Link</v>
      </c>
      <c r="D289">
        <f>Raw_Inventory!E289</f>
        <v>89</v>
      </c>
      <c r="E289">
        <f>Raw_Inventory!F289</f>
        <v>37</v>
      </c>
      <c r="F289">
        <f>Raw_Inventory!G289</f>
        <v>1200</v>
      </c>
      <c r="G289">
        <f t="shared" si="12"/>
        <v>52</v>
      </c>
      <c r="H289">
        <f t="shared" si="13"/>
        <v>62400</v>
      </c>
      <c r="I289" t="str">
        <f t="shared" si="14"/>
        <v>OK</v>
      </c>
    </row>
    <row r="290" spans="1:9" x14ac:dyDescent="0.25">
      <c r="A290" t="str">
        <f>Raw_Inventory!A290</f>
        <v>P1289</v>
      </c>
      <c r="B290" t="str">
        <f>Raw_Inventory!B290</f>
        <v>Tablet</v>
      </c>
      <c r="C290" t="str">
        <f>Raw_Inventory!D290</f>
        <v>Seagate</v>
      </c>
      <c r="D290">
        <f>Raw_Inventory!E290</f>
        <v>169</v>
      </c>
      <c r="E290">
        <f>Raw_Inventory!F290</f>
        <v>57</v>
      </c>
      <c r="F290">
        <f>Raw_Inventory!G290</f>
        <v>12000</v>
      </c>
      <c r="G290">
        <f t="shared" si="12"/>
        <v>112</v>
      </c>
      <c r="H290">
        <f t="shared" si="13"/>
        <v>1344000</v>
      </c>
      <c r="I290" t="str">
        <f t="shared" si="14"/>
        <v>OK</v>
      </c>
    </row>
    <row r="291" spans="1:9" x14ac:dyDescent="0.25">
      <c r="A291" t="str">
        <f>Raw_Inventory!A291</f>
        <v>P1290</v>
      </c>
      <c r="B291" t="str">
        <f>Raw_Inventory!B291</f>
        <v>Laptop</v>
      </c>
      <c r="C291" t="str">
        <f>Raw_Inventory!D291</f>
        <v>Logitech</v>
      </c>
      <c r="D291">
        <f>Raw_Inventory!E291</f>
        <v>94</v>
      </c>
      <c r="E291">
        <f>Raw_Inventory!F291</f>
        <v>42</v>
      </c>
      <c r="F291">
        <f>Raw_Inventory!G291</f>
        <v>8000</v>
      </c>
      <c r="G291">
        <f t="shared" si="12"/>
        <v>52</v>
      </c>
      <c r="H291">
        <f t="shared" si="13"/>
        <v>416000</v>
      </c>
      <c r="I291" t="str">
        <f t="shared" si="14"/>
        <v>OK</v>
      </c>
    </row>
    <row r="292" spans="1:9" x14ac:dyDescent="0.25">
      <c r="A292" t="str">
        <f>Raw_Inventory!A292</f>
        <v>P1291</v>
      </c>
      <c r="B292" t="str">
        <f>Raw_Inventory!B292</f>
        <v>Tablet</v>
      </c>
      <c r="C292" t="str">
        <f>Raw_Inventory!D292</f>
        <v>Asus</v>
      </c>
      <c r="D292">
        <f>Raw_Inventory!E292</f>
        <v>108</v>
      </c>
      <c r="E292">
        <f>Raw_Inventory!F292</f>
        <v>146</v>
      </c>
      <c r="F292">
        <f>Raw_Inventory!G292</f>
        <v>2500</v>
      </c>
      <c r="G292">
        <f t="shared" si="12"/>
        <v>-38</v>
      </c>
      <c r="H292">
        <f t="shared" si="13"/>
        <v>-95000</v>
      </c>
      <c r="I292" t="str">
        <f t="shared" si="14"/>
        <v>Low Stock</v>
      </c>
    </row>
    <row r="293" spans="1:9" x14ac:dyDescent="0.25">
      <c r="A293" t="str">
        <f>Raw_Inventory!A293</f>
        <v>P1292</v>
      </c>
      <c r="B293" t="str">
        <f>Raw_Inventory!B293</f>
        <v>Laptop</v>
      </c>
      <c r="C293" t="str">
        <f>Raw_Inventory!D293</f>
        <v>Canon</v>
      </c>
      <c r="D293">
        <f>Raw_Inventory!E293</f>
        <v>118</v>
      </c>
      <c r="E293">
        <f>Raw_Inventory!F293</f>
        <v>58</v>
      </c>
      <c r="F293">
        <f>Raw_Inventory!G293</f>
        <v>12000</v>
      </c>
      <c r="G293">
        <f t="shared" si="12"/>
        <v>60</v>
      </c>
      <c r="H293">
        <f t="shared" si="13"/>
        <v>720000</v>
      </c>
      <c r="I293" t="str">
        <f t="shared" si="14"/>
        <v>OK</v>
      </c>
    </row>
    <row r="294" spans="1:9" x14ac:dyDescent="0.25">
      <c r="A294" t="str">
        <f>Raw_Inventory!A294</f>
        <v>P1293</v>
      </c>
      <c r="B294" t="str">
        <f>Raw_Inventory!B294</f>
        <v>Keyboard</v>
      </c>
      <c r="C294" t="str">
        <f>Raw_Inventory!D294</f>
        <v>Acer</v>
      </c>
      <c r="D294">
        <f>Raw_Inventory!E294</f>
        <v>26</v>
      </c>
      <c r="E294">
        <f>Raw_Inventory!F294</f>
        <v>27</v>
      </c>
      <c r="F294">
        <f>Raw_Inventory!G294</f>
        <v>1500</v>
      </c>
      <c r="G294">
        <f t="shared" si="12"/>
        <v>-1</v>
      </c>
      <c r="H294">
        <f t="shared" si="13"/>
        <v>-1500</v>
      </c>
      <c r="I294" t="str">
        <f t="shared" si="14"/>
        <v>Low Stock</v>
      </c>
    </row>
    <row r="295" spans="1:9" x14ac:dyDescent="0.25">
      <c r="A295" t="str">
        <f>Raw_Inventory!A295</f>
        <v>P1294</v>
      </c>
      <c r="B295" t="str">
        <f>Raw_Inventory!B295</f>
        <v>Laptop</v>
      </c>
      <c r="C295" t="str">
        <f>Raw_Inventory!D295</f>
        <v>Samsung</v>
      </c>
      <c r="D295">
        <f>Raw_Inventory!E295</f>
        <v>160</v>
      </c>
      <c r="E295">
        <f>Raw_Inventory!F295</f>
        <v>49</v>
      </c>
      <c r="F295">
        <f>Raw_Inventory!G295</f>
        <v>55000</v>
      </c>
      <c r="G295">
        <f t="shared" si="12"/>
        <v>111</v>
      </c>
      <c r="H295">
        <f t="shared" si="13"/>
        <v>6105000</v>
      </c>
      <c r="I295" t="str">
        <f t="shared" si="14"/>
        <v>OK</v>
      </c>
    </row>
    <row r="296" spans="1:9" x14ac:dyDescent="0.25">
      <c r="A296" t="str">
        <f>Raw_Inventory!A296</f>
        <v>P1295</v>
      </c>
      <c r="B296" t="str">
        <f>Raw_Inventory!B296</f>
        <v>Monitor</v>
      </c>
      <c r="C296" t="str">
        <f>Raw_Inventory!D296</f>
        <v>Acer</v>
      </c>
      <c r="D296">
        <f>Raw_Inventory!E296</f>
        <v>48</v>
      </c>
      <c r="E296">
        <f>Raw_Inventory!F296</f>
        <v>107</v>
      </c>
      <c r="F296">
        <f>Raw_Inventory!G296</f>
        <v>55000</v>
      </c>
      <c r="G296">
        <f t="shared" si="12"/>
        <v>-59</v>
      </c>
      <c r="H296">
        <f t="shared" si="13"/>
        <v>-3245000</v>
      </c>
      <c r="I296" t="str">
        <f t="shared" si="14"/>
        <v>Low Stock</v>
      </c>
    </row>
    <row r="297" spans="1:9" x14ac:dyDescent="0.25">
      <c r="A297" t="str">
        <f>Raw_Inventory!A297</f>
        <v>P1296</v>
      </c>
      <c r="B297" t="str">
        <f>Raw_Inventory!B297</f>
        <v>Monitor</v>
      </c>
      <c r="C297" t="str">
        <f>Raw_Inventory!D297</f>
        <v>Dell</v>
      </c>
      <c r="D297">
        <f>Raw_Inventory!E297</f>
        <v>49</v>
      </c>
      <c r="E297">
        <f>Raw_Inventory!F297</f>
        <v>119</v>
      </c>
      <c r="F297">
        <f>Raw_Inventory!G297</f>
        <v>55000</v>
      </c>
      <c r="G297">
        <f t="shared" si="12"/>
        <v>-70</v>
      </c>
      <c r="H297">
        <f t="shared" si="13"/>
        <v>-3850000</v>
      </c>
      <c r="I297" t="str">
        <f t="shared" si="14"/>
        <v>Low Stock</v>
      </c>
    </row>
    <row r="298" spans="1:9" x14ac:dyDescent="0.25">
      <c r="A298" t="str">
        <f>Raw_Inventory!A298</f>
        <v>P1297</v>
      </c>
      <c r="B298" t="str">
        <f>Raw_Inventory!B298</f>
        <v>Laptop</v>
      </c>
      <c r="C298" t="str">
        <f>Raw_Inventory!D298</f>
        <v>Logitech</v>
      </c>
      <c r="D298">
        <f>Raw_Inventory!E298</f>
        <v>29</v>
      </c>
      <c r="E298">
        <f>Raw_Inventory!F298</f>
        <v>97</v>
      </c>
      <c r="F298">
        <f>Raw_Inventory!G298</f>
        <v>500</v>
      </c>
      <c r="G298">
        <f t="shared" si="12"/>
        <v>-68</v>
      </c>
      <c r="H298">
        <f t="shared" si="13"/>
        <v>-34000</v>
      </c>
      <c r="I298" t="str">
        <f t="shared" si="14"/>
        <v>Low Stock</v>
      </c>
    </row>
    <row r="299" spans="1:9" x14ac:dyDescent="0.25">
      <c r="A299" t="str">
        <f>Raw_Inventory!A299</f>
        <v>P1298</v>
      </c>
      <c r="B299" t="str">
        <f>Raw_Inventory!B299</f>
        <v>Router</v>
      </c>
      <c r="C299" t="str">
        <f>Raw_Inventory!D299</f>
        <v>Acer</v>
      </c>
      <c r="D299">
        <f>Raw_Inventory!E299</f>
        <v>53</v>
      </c>
      <c r="E299">
        <f>Raw_Inventory!F299</f>
        <v>59</v>
      </c>
      <c r="F299">
        <f>Raw_Inventory!G299</f>
        <v>30000</v>
      </c>
      <c r="G299">
        <f t="shared" si="12"/>
        <v>-6</v>
      </c>
      <c r="H299">
        <f t="shared" si="13"/>
        <v>-180000</v>
      </c>
      <c r="I299" t="str">
        <f t="shared" si="14"/>
        <v>Low Stock</v>
      </c>
    </row>
    <row r="300" spans="1:9" x14ac:dyDescent="0.25">
      <c r="A300" t="str">
        <f>Raw_Inventory!A300</f>
        <v>P1299</v>
      </c>
      <c r="B300" t="str">
        <f>Raw_Inventory!B300</f>
        <v>Mouse</v>
      </c>
      <c r="C300" t="str">
        <f>Raw_Inventory!D300</f>
        <v>Logitech</v>
      </c>
      <c r="D300">
        <f>Raw_Inventory!E300</f>
        <v>69</v>
      </c>
      <c r="E300">
        <f>Raw_Inventory!F300</f>
        <v>108</v>
      </c>
      <c r="F300">
        <f>Raw_Inventory!G300</f>
        <v>55000</v>
      </c>
      <c r="G300">
        <f t="shared" si="12"/>
        <v>-39</v>
      </c>
      <c r="H300">
        <f t="shared" si="13"/>
        <v>-2145000</v>
      </c>
      <c r="I300" t="str">
        <f t="shared" si="14"/>
        <v>Low Stock</v>
      </c>
    </row>
    <row r="301" spans="1:9" x14ac:dyDescent="0.25">
      <c r="A301" t="str">
        <f>Raw_Inventory!A301</f>
        <v>P1300</v>
      </c>
      <c r="B301" t="str">
        <f>Raw_Inventory!B301</f>
        <v>Webcam</v>
      </c>
      <c r="C301" t="str">
        <f>Raw_Inventory!D301</f>
        <v>Samsung</v>
      </c>
      <c r="D301">
        <f>Raw_Inventory!E301</f>
        <v>101</v>
      </c>
      <c r="E301">
        <f>Raw_Inventory!F301</f>
        <v>101</v>
      </c>
      <c r="F301">
        <f>Raw_Inventory!G301</f>
        <v>2500</v>
      </c>
      <c r="G301">
        <f t="shared" si="12"/>
        <v>0</v>
      </c>
      <c r="H301">
        <f t="shared" si="13"/>
        <v>0</v>
      </c>
      <c r="I301" t="str">
        <f t="shared" si="14"/>
        <v>Low Stock</v>
      </c>
    </row>
    <row r="302" spans="1:9" x14ac:dyDescent="0.25">
      <c r="A302" t="str">
        <f>Raw_Inventory!A302</f>
        <v>P1301</v>
      </c>
      <c r="B302" t="str">
        <f>Raw_Inventory!B302</f>
        <v>Router</v>
      </c>
      <c r="C302" t="str">
        <f>Raw_Inventory!D302</f>
        <v>Acer</v>
      </c>
      <c r="D302">
        <f>Raw_Inventory!E302</f>
        <v>111</v>
      </c>
      <c r="E302">
        <f>Raw_Inventory!F302</f>
        <v>147</v>
      </c>
      <c r="F302">
        <f>Raw_Inventory!G302</f>
        <v>5000</v>
      </c>
      <c r="G302">
        <f t="shared" si="12"/>
        <v>-36</v>
      </c>
      <c r="H302">
        <f t="shared" si="13"/>
        <v>-180000</v>
      </c>
      <c r="I302" t="str">
        <f t="shared" si="14"/>
        <v>Low Stock</v>
      </c>
    </row>
    <row r="303" spans="1:9" x14ac:dyDescent="0.25">
      <c r="A303" t="str">
        <f>Raw_Inventory!A303</f>
        <v>P1302</v>
      </c>
      <c r="B303" t="str">
        <f>Raw_Inventory!B303</f>
        <v>Keyboard</v>
      </c>
      <c r="C303" t="str">
        <f>Raw_Inventory!D303</f>
        <v>TP-Link</v>
      </c>
      <c r="D303">
        <f>Raw_Inventory!E303</f>
        <v>65</v>
      </c>
      <c r="E303">
        <f>Raw_Inventory!F303</f>
        <v>91</v>
      </c>
      <c r="F303">
        <f>Raw_Inventory!G303</f>
        <v>8000</v>
      </c>
      <c r="G303">
        <f t="shared" si="12"/>
        <v>-26</v>
      </c>
      <c r="H303">
        <f t="shared" si="13"/>
        <v>-208000</v>
      </c>
      <c r="I303" t="str">
        <f t="shared" si="14"/>
        <v>Low Stock</v>
      </c>
    </row>
    <row r="304" spans="1:9" x14ac:dyDescent="0.25">
      <c r="A304" t="str">
        <f>Raw_Inventory!A304</f>
        <v>P1303</v>
      </c>
      <c r="B304" t="str">
        <f>Raw_Inventory!B304</f>
        <v>Mouse</v>
      </c>
      <c r="C304" t="str">
        <f>Raw_Inventory!D304</f>
        <v>Acer</v>
      </c>
      <c r="D304">
        <f>Raw_Inventory!E304</f>
        <v>94</v>
      </c>
      <c r="E304">
        <f>Raw_Inventory!F304</f>
        <v>147</v>
      </c>
      <c r="F304">
        <f>Raw_Inventory!G304</f>
        <v>1500</v>
      </c>
      <c r="G304">
        <f t="shared" si="12"/>
        <v>-53</v>
      </c>
      <c r="H304">
        <f t="shared" si="13"/>
        <v>-79500</v>
      </c>
      <c r="I304" t="str">
        <f t="shared" si="14"/>
        <v>Low Stock</v>
      </c>
    </row>
    <row r="305" spans="1:9" x14ac:dyDescent="0.25">
      <c r="A305" t="str">
        <f>Raw_Inventory!A305</f>
        <v>P1304</v>
      </c>
      <c r="B305" t="str">
        <f>Raw_Inventory!B305</f>
        <v>Printer</v>
      </c>
      <c r="C305" t="str">
        <f>Raw_Inventory!D305</f>
        <v>Dell</v>
      </c>
      <c r="D305">
        <f>Raw_Inventory!E305</f>
        <v>62</v>
      </c>
      <c r="E305">
        <f>Raw_Inventory!F305</f>
        <v>141</v>
      </c>
      <c r="F305">
        <f>Raw_Inventory!G305</f>
        <v>1200</v>
      </c>
      <c r="G305">
        <f t="shared" si="12"/>
        <v>-79</v>
      </c>
      <c r="H305">
        <f t="shared" si="13"/>
        <v>-94800</v>
      </c>
      <c r="I305" t="str">
        <f t="shared" si="14"/>
        <v>Low Stock</v>
      </c>
    </row>
    <row r="306" spans="1:9" x14ac:dyDescent="0.25">
      <c r="A306" t="str">
        <f>Raw_Inventory!A306</f>
        <v>P1305</v>
      </c>
      <c r="B306" t="str">
        <f>Raw_Inventory!B306</f>
        <v>Printer</v>
      </c>
      <c r="C306" t="str">
        <f>Raw_Inventory!D306</f>
        <v>Samsung</v>
      </c>
      <c r="D306">
        <f>Raw_Inventory!E306</f>
        <v>80</v>
      </c>
      <c r="E306">
        <f>Raw_Inventory!F306</f>
        <v>116</v>
      </c>
      <c r="F306">
        <f>Raw_Inventory!G306</f>
        <v>5000</v>
      </c>
      <c r="G306">
        <f t="shared" si="12"/>
        <v>-36</v>
      </c>
      <c r="H306">
        <f t="shared" si="13"/>
        <v>-180000</v>
      </c>
      <c r="I306" t="str">
        <f t="shared" si="14"/>
        <v>Low Stock</v>
      </c>
    </row>
    <row r="307" spans="1:9" x14ac:dyDescent="0.25">
      <c r="A307" t="str">
        <f>Raw_Inventory!A307</f>
        <v>P1306</v>
      </c>
      <c r="B307" t="str">
        <f>Raw_Inventory!B307</f>
        <v>Router</v>
      </c>
      <c r="C307" t="str">
        <f>Raw_Inventory!D307</f>
        <v>Logitech</v>
      </c>
      <c r="D307">
        <f>Raw_Inventory!E307</f>
        <v>29</v>
      </c>
      <c r="E307">
        <f>Raw_Inventory!F307</f>
        <v>86</v>
      </c>
      <c r="F307">
        <f>Raw_Inventory!G307</f>
        <v>8000</v>
      </c>
      <c r="G307">
        <f t="shared" si="12"/>
        <v>-57</v>
      </c>
      <c r="H307">
        <f t="shared" si="13"/>
        <v>-456000</v>
      </c>
      <c r="I307" t="str">
        <f t="shared" si="14"/>
        <v>Low Stock</v>
      </c>
    </row>
    <row r="308" spans="1:9" x14ac:dyDescent="0.25">
      <c r="A308" t="str">
        <f>Raw_Inventory!A308</f>
        <v>P1307</v>
      </c>
      <c r="B308" t="str">
        <f>Raw_Inventory!B308</f>
        <v>SSD</v>
      </c>
      <c r="C308" t="str">
        <f>Raw_Inventory!D308</f>
        <v>HP</v>
      </c>
      <c r="D308">
        <f>Raw_Inventory!E308</f>
        <v>119</v>
      </c>
      <c r="E308">
        <f>Raw_Inventory!F308</f>
        <v>43</v>
      </c>
      <c r="F308">
        <f>Raw_Inventory!G308</f>
        <v>500</v>
      </c>
      <c r="G308">
        <f t="shared" si="12"/>
        <v>76</v>
      </c>
      <c r="H308">
        <f t="shared" si="13"/>
        <v>38000</v>
      </c>
      <c r="I308" t="str">
        <f t="shared" si="14"/>
        <v>OK</v>
      </c>
    </row>
    <row r="309" spans="1:9" x14ac:dyDescent="0.25">
      <c r="A309" t="str">
        <f>Raw_Inventory!A309</f>
        <v>P1308</v>
      </c>
      <c r="B309" t="str">
        <f>Raw_Inventory!B309</f>
        <v>Headphones</v>
      </c>
      <c r="C309" t="str">
        <f>Raw_Inventory!D309</f>
        <v>Seagate</v>
      </c>
      <c r="D309">
        <f>Raw_Inventory!E309</f>
        <v>116</v>
      </c>
      <c r="E309">
        <f>Raw_Inventory!F309</f>
        <v>45</v>
      </c>
      <c r="F309">
        <f>Raw_Inventory!G309</f>
        <v>500</v>
      </c>
      <c r="G309">
        <f t="shared" si="12"/>
        <v>71</v>
      </c>
      <c r="H309">
        <f t="shared" si="13"/>
        <v>35500</v>
      </c>
      <c r="I309" t="str">
        <f t="shared" si="14"/>
        <v>OK</v>
      </c>
    </row>
    <row r="310" spans="1:9" x14ac:dyDescent="0.25">
      <c r="A310" t="str">
        <f>Raw_Inventory!A310</f>
        <v>P1309</v>
      </c>
      <c r="B310" t="str">
        <f>Raw_Inventory!B310</f>
        <v>Webcam</v>
      </c>
      <c r="C310" t="str">
        <f>Raw_Inventory!D310</f>
        <v>Seagate</v>
      </c>
      <c r="D310">
        <f>Raw_Inventory!E310</f>
        <v>102</v>
      </c>
      <c r="E310">
        <f>Raw_Inventory!F310</f>
        <v>95</v>
      </c>
      <c r="F310">
        <f>Raw_Inventory!G310</f>
        <v>12000</v>
      </c>
      <c r="G310">
        <f t="shared" si="12"/>
        <v>7</v>
      </c>
      <c r="H310">
        <f t="shared" si="13"/>
        <v>84000</v>
      </c>
      <c r="I310" t="str">
        <f t="shared" si="14"/>
        <v>Low Stock</v>
      </c>
    </row>
    <row r="311" spans="1:9" x14ac:dyDescent="0.25">
      <c r="A311" t="str">
        <f>Raw_Inventory!A311</f>
        <v>P1310</v>
      </c>
      <c r="B311" t="str">
        <f>Raw_Inventory!B311</f>
        <v>Monitor</v>
      </c>
      <c r="C311" t="str">
        <f>Raw_Inventory!D311</f>
        <v>HP</v>
      </c>
      <c r="D311">
        <f>Raw_Inventory!E311</f>
        <v>24</v>
      </c>
      <c r="E311">
        <f>Raw_Inventory!F311</f>
        <v>108</v>
      </c>
      <c r="F311">
        <f>Raw_Inventory!G311</f>
        <v>12000</v>
      </c>
      <c r="G311">
        <f t="shared" si="12"/>
        <v>-84</v>
      </c>
      <c r="H311">
        <f t="shared" si="13"/>
        <v>-1008000</v>
      </c>
      <c r="I311" t="str">
        <f t="shared" si="14"/>
        <v>Low Stock</v>
      </c>
    </row>
    <row r="312" spans="1:9" x14ac:dyDescent="0.25">
      <c r="A312" t="str">
        <f>Raw_Inventory!A312</f>
        <v>P1311</v>
      </c>
      <c r="B312" t="str">
        <f>Raw_Inventory!B312</f>
        <v>Headphones</v>
      </c>
      <c r="C312" t="str">
        <f>Raw_Inventory!D312</f>
        <v>Dell</v>
      </c>
      <c r="D312">
        <f>Raw_Inventory!E312</f>
        <v>97</v>
      </c>
      <c r="E312">
        <f>Raw_Inventory!F312</f>
        <v>122</v>
      </c>
      <c r="F312">
        <f>Raw_Inventory!G312</f>
        <v>2500</v>
      </c>
      <c r="G312">
        <f t="shared" si="12"/>
        <v>-25</v>
      </c>
      <c r="H312">
        <f t="shared" si="13"/>
        <v>-62500</v>
      </c>
      <c r="I312" t="str">
        <f t="shared" si="14"/>
        <v>Low Stock</v>
      </c>
    </row>
    <row r="313" spans="1:9" x14ac:dyDescent="0.25">
      <c r="A313" t="str">
        <f>Raw_Inventory!A313</f>
        <v>P1312</v>
      </c>
      <c r="B313" t="str">
        <f>Raw_Inventory!B313</f>
        <v>Tablet</v>
      </c>
      <c r="C313" t="str">
        <f>Raw_Inventory!D313</f>
        <v>Acer</v>
      </c>
      <c r="D313">
        <f>Raw_Inventory!E313</f>
        <v>190</v>
      </c>
      <c r="E313">
        <f>Raw_Inventory!F313</f>
        <v>133</v>
      </c>
      <c r="F313">
        <f>Raw_Inventory!G313</f>
        <v>12000</v>
      </c>
      <c r="G313">
        <f t="shared" si="12"/>
        <v>57</v>
      </c>
      <c r="H313">
        <f t="shared" si="13"/>
        <v>684000</v>
      </c>
      <c r="I313" t="str">
        <f t="shared" si="14"/>
        <v>OK</v>
      </c>
    </row>
    <row r="314" spans="1:9" x14ac:dyDescent="0.25">
      <c r="A314" t="str">
        <f>Raw_Inventory!A314</f>
        <v>P1313</v>
      </c>
      <c r="B314" t="str">
        <f>Raw_Inventory!B314</f>
        <v>Printer</v>
      </c>
      <c r="C314" t="str">
        <f>Raw_Inventory!D314</f>
        <v>Asus</v>
      </c>
      <c r="D314">
        <f>Raw_Inventory!E314</f>
        <v>177</v>
      </c>
      <c r="E314">
        <f>Raw_Inventory!F314</f>
        <v>73</v>
      </c>
      <c r="F314">
        <f>Raw_Inventory!G314</f>
        <v>8000</v>
      </c>
      <c r="G314">
        <f t="shared" si="12"/>
        <v>104</v>
      </c>
      <c r="H314">
        <f t="shared" si="13"/>
        <v>832000</v>
      </c>
      <c r="I314" t="str">
        <f t="shared" si="14"/>
        <v>OK</v>
      </c>
    </row>
    <row r="315" spans="1:9" x14ac:dyDescent="0.25">
      <c r="A315" t="str">
        <f>Raw_Inventory!A315</f>
        <v>P1314</v>
      </c>
      <c r="B315" t="str">
        <f>Raw_Inventory!B315</f>
        <v>Headphones</v>
      </c>
      <c r="C315" t="str">
        <f>Raw_Inventory!D315</f>
        <v>Asus</v>
      </c>
      <c r="D315">
        <f>Raw_Inventory!E315</f>
        <v>155</v>
      </c>
      <c r="E315">
        <f>Raw_Inventory!F315</f>
        <v>44</v>
      </c>
      <c r="F315">
        <f>Raw_Inventory!G315</f>
        <v>2500</v>
      </c>
      <c r="G315">
        <f t="shared" si="12"/>
        <v>111</v>
      </c>
      <c r="H315">
        <f t="shared" si="13"/>
        <v>277500</v>
      </c>
      <c r="I315" t="str">
        <f t="shared" si="14"/>
        <v>OK</v>
      </c>
    </row>
    <row r="316" spans="1:9" x14ac:dyDescent="0.25">
      <c r="A316" t="str">
        <f>Raw_Inventory!A316</f>
        <v>P1315</v>
      </c>
      <c r="B316" t="str">
        <f>Raw_Inventory!B316</f>
        <v>Headphones</v>
      </c>
      <c r="C316" t="str">
        <f>Raw_Inventory!D316</f>
        <v>Acer</v>
      </c>
      <c r="D316">
        <f>Raw_Inventory!E316</f>
        <v>153</v>
      </c>
      <c r="E316">
        <f>Raw_Inventory!F316</f>
        <v>98</v>
      </c>
      <c r="F316">
        <f>Raw_Inventory!G316</f>
        <v>1200</v>
      </c>
      <c r="G316">
        <f t="shared" si="12"/>
        <v>55</v>
      </c>
      <c r="H316">
        <f t="shared" si="13"/>
        <v>66000</v>
      </c>
      <c r="I316" t="str">
        <f t="shared" si="14"/>
        <v>OK</v>
      </c>
    </row>
    <row r="317" spans="1:9" x14ac:dyDescent="0.25">
      <c r="A317" t="str">
        <f>Raw_Inventory!A317</f>
        <v>P1316</v>
      </c>
      <c r="B317" t="str">
        <f>Raw_Inventory!B317</f>
        <v>Webcam</v>
      </c>
      <c r="C317" t="str">
        <f>Raw_Inventory!D317</f>
        <v>Samsung</v>
      </c>
      <c r="D317">
        <f>Raw_Inventory!E317</f>
        <v>139</v>
      </c>
      <c r="E317">
        <f>Raw_Inventory!F317</f>
        <v>63</v>
      </c>
      <c r="F317">
        <f>Raw_Inventory!G317</f>
        <v>5000</v>
      </c>
      <c r="G317">
        <f t="shared" si="12"/>
        <v>76</v>
      </c>
      <c r="H317">
        <f t="shared" si="13"/>
        <v>380000</v>
      </c>
      <c r="I317" t="str">
        <f t="shared" si="14"/>
        <v>OK</v>
      </c>
    </row>
    <row r="318" spans="1:9" x14ac:dyDescent="0.25">
      <c r="A318" t="str">
        <f>Raw_Inventory!A318</f>
        <v>P1317</v>
      </c>
      <c r="B318" t="str">
        <f>Raw_Inventory!B318</f>
        <v>Webcam</v>
      </c>
      <c r="C318" t="str">
        <f>Raw_Inventory!D318</f>
        <v>Samsung</v>
      </c>
      <c r="D318">
        <f>Raw_Inventory!E318</f>
        <v>31</v>
      </c>
      <c r="E318">
        <f>Raw_Inventory!F318</f>
        <v>52</v>
      </c>
      <c r="F318">
        <f>Raw_Inventory!G318</f>
        <v>1500</v>
      </c>
      <c r="G318">
        <f t="shared" si="12"/>
        <v>-21</v>
      </c>
      <c r="H318">
        <f t="shared" si="13"/>
        <v>-31500</v>
      </c>
      <c r="I318" t="str">
        <f t="shared" si="14"/>
        <v>Low Stock</v>
      </c>
    </row>
    <row r="319" spans="1:9" x14ac:dyDescent="0.25">
      <c r="A319" t="str">
        <f>Raw_Inventory!A319</f>
        <v>P1318</v>
      </c>
      <c r="B319" t="str">
        <f>Raw_Inventory!B319</f>
        <v>Webcam</v>
      </c>
      <c r="C319" t="str">
        <f>Raw_Inventory!D319</f>
        <v>Lenovo</v>
      </c>
      <c r="D319">
        <f>Raw_Inventory!E319</f>
        <v>36</v>
      </c>
      <c r="E319">
        <f>Raw_Inventory!F319</f>
        <v>141</v>
      </c>
      <c r="F319">
        <f>Raw_Inventory!G319</f>
        <v>8000</v>
      </c>
      <c r="G319">
        <f t="shared" si="12"/>
        <v>-105</v>
      </c>
      <c r="H319">
        <f t="shared" si="13"/>
        <v>-840000</v>
      </c>
      <c r="I319" t="str">
        <f t="shared" si="14"/>
        <v>Low Stock</v>
      </c>
    </row>
    <row r="320" spans="1:9" x14ac:dyDescent="0.25">
      <c r="A320" t="str">
        <f>Raw_Inventory!A320</f>
        <v>P1319</v>
      </c>
      <c r="B320" t="str">
        <f>Raw_Inventory!B320</f>
        <v>Headphones</v>
      </c>
      <c r="C320" t="str">
        <f>Raw_Inventory!D320</f>
        <v>Logitech</v>
      </c>
      <c r="D320">
        <f>Raw_Inventory!E320</f>
        <v>124</v>
      </c>
      <c r="E320">
        <f>Raw_Inventory!F320</f>
        <v>149</v>
      </c>
      <c r="F320">
        <f>Raw_Inventory!G320</f>
        <v>800</v>
      </c>
      <c r="G320">
        <f t="shared" si="12"/>
        <v>-25</v>
      </c>
      <c r="H320">
        <f t="shared" si="13"/>
        <v>-20000</v>
      </c>
      <c r="I320" t="str">
        <f t="shared" si="14"/>
        <v>Low Stock</v>
      </c>
    </row>
    <row r="321" spans="1:9" x14ac:dyDescent="0.25">
      <c r="A321" t="str">
        <f>Raw_Inventory!A321</f>
        <v>P1320</v>
      </c>
      <c r="B321" t="str">
        <f>Raw_Inventory!B321</f>
        <v>Keyboard</v>
      </c>
      <c r="C321" t="str">
        <f>Raw_Inventory!D321</f>
        <v>Asus</v>
      </c>
      <c r="D321">
        <f>Raw_Inventory!E321</f>
        <v>152</v>
      </c>
      <c r="E321">
        <f>Raw_Inventory!F321</f>
        <v>57</v>
      </c>
      <c r="F321">
        <f>Raw_Inventory!G321</f>
        <v>800</v>
      </c>
      <c r="G321">
        <f t="shared" si="12"/>
        <v>95</v>
      </c>
      <c r="H321">
        <f t="shared" si="13"/>
        <v>76000</v>
      </c>
      <c r="I321" t="str">
        <f t="shared" si="14"/>
        <v>OK</v>
      </c>
    </row>
    <row r="322" spans="1:9" x14ac:dyDescent="0.25">
      <c r="A322" t="str">
        <f>Raw_Inventory!A322</f>
        <v>P1321</v>
      </c>
      <c r="B322" t="str">
        <f>Raw_Inventory!B322</f>
        <v>Headphones</v>
      </c>
      <c r="C322" t="str">
        <f>Raw_Inventory!D322</f>
        <v>HP</v>
      </c>
      <c r="D322">
        <f>Raw_Inventory!E322</f>
        <v>83</v>
      </c>
      <c r="E322">
        <f>Raw_Inventory!F322</f>
        <v>5</v>
      </c>
      <c r="F322">
        <f>Raw_Inventory!G322</f>
        <v>55000</v>
      </c>
      <c r="G322">
        <f t="shared" si="12"/>
        <v>78</v>
      </c>
      <c r="H322">
        <f t="shared" si="13"/>
        <v>4290000</v>
      </c>
      <c r="I322" t="str">
        <f t="shared" si="14"/>
        <v>OK</v>
      </c>
    </row>
    <row r="323" spans="1:9" x14ac:dyDescent="0.25">
      <c r="A323" t="str">
        <f>Raw_Inventory!A323</f>
        <v>P1322</v>
      </c>
      <c r="B323" t="str">
        <f>Raw_Inventory!B323</f>
        <v>Router</v>
      </c>
      <c r="C323" t="str">
        <f>Raw_Inventory!D323</f>
        <v>Canon</v>
      </c>
      <c r="D323">
        <f>Raw_Inventory!E323</f>
        <v>152</v>
      </c>
      <c r="E323">
        <f>Raw_Inventory!F323</f>
        <v>133</v>
      </c>
      <c r="F323">
        <f>Raw_Inventory!G323</f>
        <v>1200</v>
      </c>
      <c r="G323">
        <f t="shared" ref="G323:G386" si="15" xml:space="preserve"> D323 - E323</f>
        <v>19</v>
      </c>
      <c r="H323">
        <f t="shared" ref="H323:H386" si="16" xml:space="preserve"> G323 * F323</f>
        <v>22800</v>
      </c>
      <c r="I323" t="str">
        <f t="shared" ref="I323:I386" si="17">IF(G323&lt;10,"Low Stock","OK")</f>
        <v>OK</v>
      </c>
    </row>
    <row r="324" spans="1:9" x14ac:dyDescent="0.25">
      <c r="A324" t="str">
        <f>Raw_Inventory!A324</f>
        <v>P1323</v>
      </c>
      <c r="B324" t="str">
        <f>Raw_Inventory!B324</f>
        <v>Monitor</v>
      </c>
      <c r="C324" t="str">
        <f>Raw_Inventory!D324</f>
        <v>Seagate</v>
      </c>
      <c r="D324">
        <f>Raw_Inventory!E324</f>
        <v>159</v>
      </c>
      <c r="E324">
        <f>Raw_Inventory!F324</f>
        <v>133</v>
      </c>
      <c r="F324">
        <f>Raw_Inventory!G324</f>
        <v>1500</v>
      </c>
      <c r="G324">
        <f t="shared" si="15"/>
        <v>26</v>
      </c>
      <c r="H324">
        <f t="shared" si="16"/>
        <v>39000</v>
      </c>
      <c r="I324" t="str">
        <f t="shared" si="17"/>
        <v>OK</v>
      </c>
    </row>
    <row r="325" spans="1:9" x14ac:dyDescent="0.25">
      <c r="A325" t="str">
        <f>Raw_Inventory!A325</f>
        <v>P1324</v>
      </c>
      <c r="B325" t="str">
        <f>Raw_Inventory!B325</f>
        <v>SSD</v>
      </c>
      <c r="C325" t="str">
        <f>Raw_Inventory!D325</f>
        <v>Logitech</v>
      </c>
      <c r="D325">
        <f>Raw_Inventory!E325</f>
        <v>195</v>
      </c>
      <c r="E325">
        <f>Raw_Inventory!F325</f>
        <v>14</v>
      </c>
      <c r="F325">
        <f>Raw_Inventory!G325</f>
        <v>1500</v>
      </c>
      <c r="G325">
        <f t="shared" si="15"/>
        <v>181</v>
      </c>
      <c r="H325">
        <f t="shared" si="16"/>
        <v>271500</v>
      </c>
      <c r="I325" t="str">
        <f t="shared" si="17"/>
        <v>OK</v>
      </c>
    </row>
    <row r="326" spans="1:9" x14ac:dyDescent="0.25">
      <c r="A326" t="str">
        <f>Raw_Inventory!A326</f>
        <v>P1325</v>
      </c>
      <c r="B326" t="str">
        <f>Raw_Inventory!B326</f>
        <v>Printer</v>
      </c>
      <c r="C326" t="str">
        <f>Raw_Inventory!D326</f>
        <v>Logitech</v>
      </c>
      <c r="D326">
        <f>Raw_Inventory!E326</f>
        <v>112</v>
      </c>
      <c r="E326">
        <f>Raw_Inventory!F326</f>
        <v>6</v>
      </c>
      <c r="F326">
        <f>Raw_Inventory!G326</f>
        <v>1200</v>
      </c>
      <c r="G326">
        <f t="shared" si="15"/>
        <v>106</v>
      </c>
      <c r="H326">
        <f t="shared" si="16"/>
        <v>127200</v>
      </c>
      <c r="I326" t="str">
        <f t="shared" si="17"/>
        <v>OK</v>
      </c>
    </row>
    <row r="327" spans="1:9" x14ac:dyDescent="0.25">
      <c r="A327" t="str">
        <f>Raw_Inventory!A327</f>
        <v>P1326</v>
      </c>
      <c r="B327" t="str">
        <f>Raw_Inventory!B327</f>
        <v>Webcam</v>
      </c>
      <c r="C327" t="str">
        <f>Raw_Inventory!D327</f>
        <v>Canon</v>
      </c>
      <c r="D327">
        <f>Raw_Inventory!E327</f>
        <v>131</v>
      </c>
      <c r="E327">
        <f>Raw_Inventory!F327</f>
        <v>75</v>
      </c>
      <c r="F327">
        <f>Raw_Inventory!G327</f>
        <v>1200</v>
      </c>
      <c r="G327">
        <f t="shared" si="15"/>
        <v>56</v>
      </c>
      <c r="H327">
        <f t="shared" si="16"/>
        <v>67200</v>
      </c>
      <c r="I327" t="str">
        <f t="shared" si="17"/>
        <v>OK</v>
      </c>
    </row>
    <row r="328" spans="1:9" x14ac:dyDescent="0.25">
      <c r="A328" t="str">
        <f>Raw_Inventory!A328</f>
        <v>P1327</v>
      </c>
      <c r="B328" t="str">
        <f>Raw_Inventory!B328</f>
        <v>Printer</v>
      </c>
      <c r="C328" t="str">
        <f>Raw_Inventory!D328</f>
        <v>Lenovo</v>
      </c>
      <c r="D328">
        <f>Raw_Inventory!E328</f>
        <v>35</v>
      </c>
      <c r="E328">
        <f>Raw_Inventory!F328</f>
        <v>14</v>
      </c>
      <c r="F328">
        <f>Raw_Inventory!G328</f>
        <v>30000</v>
      </c>
      <c r="G328">
        <f t="shared" si="15"/>
        <v>21</v>
      </c>
      <c r="H328">
        <f t="shared" si="16"/>
        <v>630000</v>
      </c>
      <c r="I328" t="str">
        <f t="shared" si="17"/>
        <v>OK</v>
      </c>
    </row>
    <row r="329" spans="1:9" x14ac:dyDescent="0.25">
      <c r="A329" t="str">
        <f>Raw_Inventory!A329</f>
        <v>P1328</v>
      </c>
      <c r="B329" t="str">
        <f>Raw_Inventory!B329</f>
        <v>Laptop</v>
      </c>
      <c r="C329" t="str">
        <f>Raw_Inventory!D329</f>
        <v>Dell</v>
      </c>
      <c r="D329">
        <f>Raw_Inventory!E329</f>
        <v>106</v>
      </c>
      <c r="E329">
        <f>Raw_Inventory!F329</f>
        <v>69</v>
      </c>
      <c r="F329">
        <f>Raw_Inventory!G329</f>
        <v>12000</v>
      </c>
      <c r="G329">
        <f t="shared" si="15"/>
        <v>37</v>
      </c>
      <c r="H329">
        <f t="shared" si="16"/>
        <v>444000</v>
      </c>
      <c r="I329" t="str">
        <f t="shared" si="17"/>
        <v>OK</v>
      </c>
    </row>
    <row r="330" spans="1:9" x14ac:dyDescent="0.25">
      <c r="A330" t="str">
        <f>Raw_Inventory!A330</f>
        <v>P1329</v>
      </c>
      <c r="B330" t="str">
        <f>Raw_Inventory!B330</f>
        <v>Laptop</v>
      </c>
      <c r="C330" t="str">
        <f>Raw_Inventory!D330</f>
        <v>Acer</v>
      </c>
      <c r="D330">
        <f>Raw_Inventory!E330</f>
        <v>153</v>
      </c>
      <c r="E330">
        <f>Raw_Inventory!F330</f>
        <v>32</v>
      </c>
      <c r="F330">
        <f>Raw_Inventory!G330</f>
        <v>30000</v>
      </c>
      <c r="G330">
        <f t="shared" si="15"/>
        <v>121</v>
      </c>
      <c r="H330">
        <f t="shared" si="16"/>
        <v>3630000</v>
      </c>
      <c r="I330" t="str">
        <f t="shared" si="17"/>
        <v>OK</v>
      </c>
    </row>
    <row r="331" spans="1:9" x14ac:dyDescent="0.25">
      <c r="A331" t="str">
        <f>Raw_Inventory!A331</f>
        <v>P1330</v>
      </c>
      <c r="B331" t="str">
        <f>Raw_Inventory!B331</f>
        <v>Monitor</v>
      </c>
      <c r="C331" t="str">
        <f>Raw_Inventory!D331</f>
        <v>HP</v>
      </c>
      <c r="D331">
        <f>Raw_Inventory!E331</f>
        <v>117</v>
      </c>
      <c r="E331">
        <f>Raw_Inventory!F331</f>
        <v>54</v>
      </c>
      <c r="F331">
        <f>Raw_Inventory!G331</f>
        <v>500</v>
      </c>
      <c r="G331">
        <f t="shared" si="15"/>
        <v>63</v>
      </c>
      <c r="H331">
        <f t="shared" si="16"/>
        <v>31500</v>
      </c>
      <c r="I331" t="str">
        <f t="shared" si="17"/>
        <v>OK</v>
      </c>
    </row>
    <row r="332" spans="1:9" x14ac:dyDescent="0.25">
      <c r="A332" t="str">
        <f>Raw_Inventory!A332</f>
        <v>P1331</v>
      </c>
      <c r="B332" t="str">
        <f>Raw_Inventory!B332</f>
        <v>Monitor</v>
      </c>
      <c r="C332" t="str">
        <f>Raw_Inventory!D332</f>
        <v>Logitech</v>
      </c>
      <c r="D332">
        <f>Raw_Inventory!E332</f>
        <v>51</v>
      </c>
      <c r="E332">
        <f>Raw_Inventory!F332</f>
        <v>46</v>
      </c>
      <c r="F332">
        <f>Raw_Inventory!G332</f>
        <v>30000</v>
      </c>
      <c r="G332">
        <f t="shared" si="15"/>
        <v>5</v>
      </c>
      <c r="H332">
        <f t="shared" si="16"/>
        <v>150000</v>
      </c>
      <c r="I332" t="str">
        <f t="shared" si="17"/>
        <v>Low Stock</v>
      </c>
    </row>
    <row r="333" spans="1:9" x14ac:dyDescent="0.25">
      <c r="A333" t="str">
        <f>Raw_Inventory!A333</f>
        <v>P1332</v>
      </c>
      <c r="B333" t="str">
        <f>Raw_Inventory!B333</f>
        <v>Keyboard</v>
      </c>
      <c r="C333" t="str">
        <f>Raw_Inventory!D333</f>
        <v>TP-Link</v>
      </c>
      <c r="D333">
        <f>Raw_Inventory!E333</f>
        <v>137</v>
      </c>
      <c r="E333">
        <f>Raw_Inventory!F333</f>
        <v>126</v>
      </c>
      <c r="F333">
        <f>Raw_Inventory!G333</f>
        <v>2500</v>
      </c>
      <c r="G333">
        <f t="shared" si="15"/>
        <v>11</v>
      </c>
      <c r="H333">
        <f t="shared" si="16"/>
        <v>27500</v>
      </c>
      <c r="I333" t="str">
        <f t="shared" si="17"/>
        <v>OK</v>
      </c>
    </row>
    <row r="334" spans="1:9" x14ac:dyDescent="0.25">
      <c r="A334" t="str">
        <f>Raw_Inventory!A334</f>
        <v>P1333</v>
      </c>
      <c r="B334" t="str">
        <f>Raw_Inventory!B334</f>
        <v>Webcam</v>
      </c>
      <c r="C334" t="str">
        <f>Raw_Inventory!D334</f>
        <v>Acer</v>
      </c>
      <c r="D334">
        <f>Raw_Inventory!E334</f>
        <v>124</v>
      </c>
      <c r="E334">
        <f>Raw_Inventory!F334</f>
        <v>9</v>
      </c>
      <c r="F334">
        <f>Raw_Inventory!G334</f>
        <v>8000</v>
      </c>
      <c r="G334">
        <f t="shared" si="15"/>
        <v>115</v>
      </c>
      <c r="H334">
        <f t="shared" si="16"/>
        <v>920000</v>
      </c>
      <c r="I334" t="str">
        <f t="shared" si="17"/>
        <v>OK</v>
      </c>
    </row>
    <row r="335" spans="1:9" x14ac:dyDescent="0.25">
      <c r="A335" t="str">
        <f>Raw_Inventory!A335</f>
        <v>P1334</v>
      </c>
      <c r="B335" t="str">
        <f>Raw_Inventory!B335</f>
        <v>Laptop</v>
      </c>
      <c r="C335" t="str">
        <f>Raw_Inventory!D335</f>
        <v>Lenovo</v>
      </c>
      <c r="D335">
        <f>Raw_Inventory!E335</f>
        <v>117</v>
      </c>
      <c r="E335">
        <f>Raw_Inventory!F335</f>
        <v>107</v>
      </c>
      <c r="F335">
        <f>Raw_Inventory!G335</f>
        <v>5000</v>
      </c>
      <c r="G335">
        <f t="shared" si="15"/>
        <v>10</v>
      </c>
      <c r="H335">
        <f t="shared" si="16"/>
        <v>50000</v>
      </c>
      <c r="I335" t="str">
        <f t="shared" si="17"/>
        <v>OK</v>
      </c>
    </row>
    <row r="336" spans="1:9" x14ac:dyDescent="0.25">
      <c r="A336" t="str">
        <f>Raw_Inventory!A336</f>
        <v>P1335</v>
      </c>
      <c r="B336" t="str">
        <f>Raw_Inventory!B336</f>
        <v>Headphones</v>
      </c>
      <c r="C336" t="str">
        <f>Raw_Inventory!D336</f>
        <v>Acer</v>
      </c>
      <c r="D336">
        <f>Raw_Inventory!E336</f>
        <v>52</v>
      </c>
      <c r="E336">
        <f>Raw_Inventory!F336</f>
        <v>72</v>
      </c>
      <c r="F336">
        <f>Raw_Inventory!G336</f>
        <v>30000</v>
      </c>
      <c r="G336">
        <f t="shared" si="15"/>
        <v>-20</v>
      </c>
      <c r="H336">
        <f t="shared" si="16"/>
        <v>-600000</v>
      </c>
      <c r="I336" t="str">
        <f t="shared" si="17"/>
        <v>Low Stock</v>
      </c>
    </row>
    <row r="337" spans="1:9" x14ac:dyDescent="0.25">
      <c r="A337" t="str">
        <f>Raw_Inventory!A337</f>
        <v>P1336</v>
      </c>
      <c r="B337" t="str">
        <f>Raw_Inventory!B337</f>
        <v>Headphones</v>
      </c>
      <c r="C337" t="str">
        <f>Raw_Inventory!D337</f>
        <v>Canon</v>
      </c>
      <c r="D337">
        <f>Raw_Inventory!E337</f>
        <v>93</v>
      </c>
      <c r="E337">
        <f>Raw_Inventory!F337</f>
        <v>131</v>
      </c>
      <c r="F337">
        <f>Raw_Inventory!G337</f>
        <v>5000</v>
      </c>
      <c r="G337">
        <f t="shared" si="15"/>
        <v>-38</v>
      </c>
      <c r="H337">
        <f t="shared" si="16"/>
        <v>-190000</v>
      </c>
      <c r="I337" t="str">
        <f t="shared" si="17"/>
        <v>Low Stock</v>
      </c>
    </row>
    <row r="338" spans="1:9" x14ac:dyDescent="0.25">
      <c r="A338" t="str">
        <f>Raw_Inventory!A338</f>
        <v>P1337</v>
      </c>
      <c r="B338" t="str">
        <f>Raw_Inventory!B338</f>
        <v>Mouse</v>
      </c>
      <c r="C338" t="str">
        <f>Raw_Inventory!D338</f>
        <v>Lenovo</v>
      </c>
      <c r="D338">
        <f>Raw_Inventory!E338</f>
        <v>98</v>
      </c>
      <c r="E338">
        <f>Raw_Inventory!F338</f>
        <v>26</v>
      </c>
      <c r="F338">
        <f>Raw_Inventory!G338</f>
        <v>1200</v>
      </c>
      <c r="G338">
        <f t="shared" si="15"/>
        <v>72</v>
      </c>
      <c r="H338">
        <f t="shared" si="16"/>
        <v>86400</v>
      </c>
      <c r="I338" t="str">
        <f t="shared" si="17"/>
        <v>OK</v>
      </c>
    </row>
    <row r="339" spans="1:9" x14ac:dyDescent="0.25">
      <c r="A339" t="str">
        <f>Raw_Inventory!A339</f>
        <v>P1338</v>
      </c>
      <c r="B339" t="str">
        <f>Raw_Inventory!B339</f>
        <v>SSD</v>
      </c>
      <c r="C339" t="str">
        <f>Raw_Inventory!D339</f>
        <v>Acer</v>
      </c>
      <c r="D339">
        <f>Raw_Inventory!E339</f>
        <v>71</v>
      </c>
      <c r="E339">
        <f>Raw_Inventory!F339</f>
        <v>118</v>
      </c>
      <c r="F339">
        <f>Raw_Inventory!G339</f>
        <v>8000</v>
      </c>
      <c r="G339">
        <f t="shared" si="15"/>
        <v>-47</v>
      </c>
      <c r="H339">
        <f t="shared" si="16"/>
        <v>-376000</v>
      </c>
      <c r="I339" t="str">
        <f t="shared" si="17"/>
        <v>Low Stock</v>
      </c>
    </row>
    <row r="340" spans="1:9" x14ac:dyDescent="0.25">
      <c r="A340" t="str">
        <f>Raw_Inventory!A340</f>
        <v>P1339</v>
      </c>
      <c r="B340" t="str">
        <f>Raw_Inventory!B340</f>
        <v>SSD</v>
      </c>
      <c r="C340" t="str">
        <f>Raw_Inventory!D340</f>
        <v>Lenovo</v>
      </c>
      <c r="D340">
        <f>Raw_Inventory!E340</f>
        <v>198</v>
      </c>
      <c r="E340">
        <f>Raw_Inventory!F340</f>
        <v>75</v>
      </c>
      <c r="F340">
        <f>Raw_Inventory!G340</f>
        <v>55000</v>
      </c>
      <c r="G340">
        <f t="shared" si="15"/>
        <v>123</v>
      </c>
      <c r="H340">
        <f t="shared" si="16"/>
        <v>6765000</v>
      </c>
      <c r="I340" t="str">
        <f t="shared" si="17"/>
        <v>OK</v>
      </c>
    </row>
    <row r="341" spans="1:9" x14ac:dyDescent="0.25">
      <c r="A341" t="str">
        <f>Raw_Inventory!A341</f>
        <v>P1340</v>
      </c>
      <c r="B341" t="str">
        <f>Raw_Inventory!B341</f>
        <v>Tablet</v>
      </c>
      <c r="C341" t="str">
        <f>Raw_Inventory!D341</f>
        <v>Seagate</v>
      </c>
      <c r="D341">
        <f>Raw_Inventory!E341</f>
        <v>80</v>
      </c>
      <c r="E341">
        <f>Raw_Inventory!F341</f>
        <v>17</v>
      </c>
      <c r="F341">
        <f>Raw_Inventory!G341</f>
        <v>12000</v>
      </c>
      <c r="G341">
        <f t="shared" si="15"/>
        <v>63</v>
      </c>
      <c r="H341">
        <f t="shared" si="16"/>
        <v>756000</v>
      </c>
      <c r="I341" t="str">
        <f t="shared" si="17"/>
        <v>OK</v>
      </c>
    </row>
    <row r="342" spans="1:9" x14ac:dyDescent="0.25">
      <c r="A342" t="str">
        <f>Raw_Inventory!A342</f>
        <v>P1341</v>
      </c>
      <c r="B342" t="str">
        <f>Raw_Inventory!B342</f>
        <v>Mouse</v>
      </c>
      <c r="C342" t="str">
        <f>Raw_Inventory!D342</f>
        <v>Dell</v>
      </c>
      <c r="D342">
        <f>Raw_Inventory!E342</f>
        <v>58</v>
      </c>
      <c r="E342">
        <f>Raw_Inventory!F342</f>
        <v>123</v>
      </c>
      <c r="F342">
        <f>Raw_Inventory!G342</f>
        <v>800</v>
      </c>
      <c r="G342">
        <f t="shared" si="15"/>
        <v>-65</v>
      </c>
      <c r="H342">
        <f t="shared" si="16"/>
        <v>-52000</v>
      </c>
      <c r="I342" t="str">
        <f t="shared" si="17"/>
        <v>Low Stock</v>
      </c>
    </row>
    <row r="343" spans="1:9" x14ac:dyDescent="0.25">
      <c r="A343" t="str">
        <f>Raw_Inventory!A343</f>
        <v>P1342</v>
      </c>
      <c r="B343" t="str">
        <f>Raw_Inventory!B343</f>
        <v>Keyboard</v>
      </c>
      <c r="C343" t="str">
        <f>Raw_Inventory!D343</f>
        <v>Asus</v>
      </c>
      <c r="D343">
        <f>Raw_Inventory!E343</f>
        <v>82</v>
      </c>
      <c r="E343">
        <f>Raw_Inventory!F343</f>
        <v>140</v>
      </c>
      <c r="F343">
        <f>Raw_Inventory!G343</f>
        <v>30000</v>
      </c>
      <c r="G343">
        <f t="shared" si="15"/>
        <v>-58</v>
      </c>
      <c r="H343">
        <f t="shared" si="16"/>
        <v>-1740000</v>
      </c>
      <c r="I343" t="str">
        <f t="shared" si="17"/>
        <v>Low Stock</v>
      </c>
    </row>
    <row r="344" spans="1:9" x14ac:dyDescent="0.25">
      <c r="A344" t="str">
        <f>Raw_Inventory!A344</f>
        <v>P1343</v>
      </c>
      <c r="B344" t="str">
        <f>Raw_Inventory!B344</f>
        <v>Webcam</v>
      </c>
      <c r="C344" t="str">
        <f>Raw_Inventory!D344</f>
        <v>Asus</v>
      </c>
      <c r="D344">
        <f>Raw_Inventory!E344</f>
        <v>62</v>
      </c>
      <c r="E344">
        <f>Raw_Inventory!F344</f>
        <v>144</v>
      </c>
      <c r="F344">
        <f>Raw_Inventory!G344</f>
        <v>5000</v>
      </c>
      <c r="G344">
        <f t="shared" si="15"/>
        <v>-82</v>
      </c>
      <c r="H344">
        <f t="shared" si="16"/>
        <v>-410000</v>
      </c>
      <c r="I344" t="str">
        <f t="shared" si="17"/>
        <v>Low Stock</v>
      </c>
    </row>
    <row r="345" spans="1:9" x14ac:dyDescent="0.25">
      <c r="A345" t="str">
        <f>Raw_Inventory!A345</f>
        <v>P1344</v>
      </c>
      <c r="B345" t="str">
        <f>Raw_Inventory!B345</f>
        <v>Webcam</v>
      </c>
      <c r="C345" t="str">
        <f>Raw_Inventory!D345</f>
        <v>Samsung</v>
      </c>
      <c r="D345">
        <f>Raw_Inventory!E345</f>
        <v>174</v>
      </c>
      <c r="E345">
        <f>Raw_Inventory!F345</f>
        <v>22</v>
      </c>
      <c r="F345">
        <f>Raw_Inventory!G345</f>
        <v>8000</v>
      </c>
      <c r="G345">
        <f t="shared" si="15"/>
        <v>152</v>
      </c>
      <c r="H345">
        <f t="shared" si="16"/>
        <v>1216000</v>
      </c>
      <c r="I345" t="str">
        <f t="shared" si="17"/>
        <v>OK</v>
      </c>
    </row>
    <row r="346" spans="1:9" x14ac:dyDescent="0.25">
      <c r="A346" t="str">
        <f>Raw_Inventory!A346</f>
        <v>P1345</v>
      </c>
      <c r="B346" t="str">
        <f>Raw_Inventory!B346</f>
        <v>Router</v>
      </c>
      <c r="C346" t="str">
        <f>Raw_Inventory!D346</f>
        <v>Samsung</v>
      </c>
      <c r="D346">
        <f>Raw_Inventory!E346</f>
        <v>115</v>
      </c>
      <c r="E346">
        <f>Raw_Inventory!F346</f>
        <v>74</v>
      </c>
      <c r="F346">
        <f>Raw_Inventory!G346</f>
        <v>30000</v>
      </c>
      <c r="G346">
        <f t="shared" si="15"/>
        <v>41</v>
      </c>
      <c r="H346">
        <f t="shared" si="16"/>
        <v>1230000</v>
      </c>
      <c r="I346" t="str">
        <f t="shared" si="17"/>
        <v>OK</v>
      </c>
    </row>
    <row r="347" spans="1:9" x14ac:dyDescent="0.25">
      <c r="A347" t="str">
        <f>Raw_Inventory!A347</f>
        <v>P1346</v>
      </c>
      <c r="B347" t="str">
        <f>Raw_Inventory!B347</f>
        <v>SSD</v>
      </c>
      <c r="C347" t="str">
        <f>Raw_Inventory!D347</f>
        <v>Acer</v>
      </c>
      <c r="D347">
        <f>Raw_Inventory!E347</f>
        <v>73</v>
      </c>
      <c r="E347">
        <f>Raw_Inventory!F347</f>
        <v>133</v>
      </c>
      <c r="F347">
        <f>Raw_Inventory!G347</f>
        <v>8000</v>
      </c>
      <c r="G347">
        <f t="shared" si="15"/>
        <v>-60</v>
      </c>
      <c r="H347">
        <f t="shared" si="16"/>
        <v>-480000</v>
      </c>
      <c r="I347" t="str">
        <f t="shared" si="17"/>
        <v>Low Stock</v>
      </c>
    </row>
    <row r="348" spans="1:9" x14ac:dyDescent="0.25">
      <c r="A348" t="str">
        <f>Raw_Inventory!A348</f>
        <v>P1347</v>
      </c>
      <c r="B348" t="str">
        <f>Raw_Inventory!B348</f>
        <v>Mouse</v>
      </c>
      <c r="C348" t="str">
        <f>Raw_Inventory!D348</f>
        <v>Asus</v>
      </c>
      <c r="D348">
        <f>Raw_Inventory!E348</f>
        <v>191</v>
      </c>
      <c r="E348">
        <f>Raw_Inventory!F348</f>
        <v>28</v>
      </c>
      <c r="F348">
        <f>Raw_Inventory!G348</f>
        <v>2500</v>
      </c>
      <c r="G348">
        <f t="shared" si="15"/>
        <v>163</v>
      </c>
      <c r="H348">
        <f t="shared" si="16"/>
        <v>407500</v>
      </c>
      <c r="I348" t="str">
        <f t="shared" si="17"/>
        <v>OK</v>
      </c>
    </row>
    <row r="349" spans="1:9" x14ac:dyDescent="0.25">
      <c r="A349" t="str">
        <f>Raw_Inventory!A349</f>
        <v>P1348</v>
      </c>
      <c r="B349" t="str">
        <f>Raw_Inventory!B349</f>
        <v>Headphones</v>
      </c>
      <c r="C349" t="str">
        <f>Raw_Inventory!D349</f>
        <v>TP-Link</v>
      </c>
      <c r="D349">
        <f>Raw_Inventory!E349</f>
        <v>43</v>
      </c>
      <c r="E349">
        <f>Raw_Inventory!F349</f>
        <v>122</v>
      </c>
      <c r="F349">
        <f>Raw_Inventory!G349</f>
        <v>1500</v>
      </c>
      <c r="G349">
        <f t="shared" si="15"/>
        <v>-79</v>
      </c>
      <c r="H349">
        <f t="shared" si="16"/>
        <v>-118500</v>
      </c>
      <c r="I349" t="str">
        <f t="shared" si="17"/>
        <v>Low Stock</v>
      </c>
    </row>
    <row r="350" spans="1:9" x14ac:dyDescent="0.25">
      <c r="A350" t="str">
        <f>Raw_Inventory!A350</f>
        <v>P1349</v>
      </c>
      <c r="B350" t="str">
        <f>Raw_Inventory!B350</f>
        <v>Monitor</v>
      </c>
      <c r="C350" t="str">
        <f>Raw_Inventory!D350</f>
        <v>Samsung</v>
      </c>
      <c r="D350">
        <f>Raw_Inventory!E350</f>
        <v>172</v>
      </c>
      <c r="E350">
        <f>Raw_Inventory!F350</f>
        <v>14</v>
      </c>
      <c r="F350">
        <f>Raw_Inventory!G350</f>
        <v>12000</v>
      </c>
      <c r="G350">
        <f t="shared" si="15"/>
        <v>158</v>
      </c>
      <c r="H350">
        <f t="shared" si="16"/>
        <v>1896000</v>
      </c>
      <c r="I350" t="str">
        <f t="shared" si="17"/>
        <v>OK</v>
      </c>
    </row>
    <row r="351" spans="1:9" x14ac:dyDescent="0.25">
      <c r="A351" t="str">
        <f>Raw_Inventory!A351</f>
        <v>P1350</v>
      </c>
      <c r="B351" t="str">
        <f>Raw_Inventory!B351</f>
        <v>Tablet</v>
      </c>
      <c r="C351" t="str">
        <f>Raw_Inventory!D351</f>
        <v>TP-Link</v>
      </c>
      <c r="D351">
        <f>Raw_Inventory!E351</f>
        <v>20</v>
      </c>
      <c r="E351">
        <f>Raw_Inventory!F351</f>
        <v>62</v>
      </c>
      <c r="F351">
        <f>Raw_Inventory!G351</f>
        <v>2500</v>
      </c>
      <c r="G351">
        <f t="shared" si="15"/>
        <v>-42</v>
      </c>
      <c r="H351">
        <f t="shared" si="16"/>
        <v>-105000</v>
      </c>
      <c r="I351" t="str">
        <f t="shared" si="17"/>
        <v>Low Stock</v>
      </c>
    </row>
    <row r="352" spans="1:9" x14ac:dyDescent="0.25">
      <c r="A352" t="str">
        <f>Raw_Inventory!A352</f>
        <v>P1351</v>
      </c>
      <c r="B352" t="str">
        <f>Raw_Inventory!B352</f>
        <v>Headphones</v>
      </c>
      <c r="C352" t="str">
        <f>Raw_Inventory!D352</f>
        <v>Lenovo</v>
      </c>
      <c r="D352">
        <f>Raw_Inventory!E352</f>
        <v>124</v>
      </c>
      <c r="E352">
        <f>Raw_Inventory!F352</f>
        <v>37</v>
      </c>
      <c r="F352">
        <f>Raw_Inventory!G352</f>
        <v>1200</v>
      </c>
      <c r="G352">
        <f t="shared" si="15"/>
        <v>87</v>
      </c>
      <c r="H352">
        <f t="shared" si="16"/>
        <v>104400</v>
      </c>
      <c r="I352" t="str">
        <f t="shared" si="17"/>
        <v>OK</v>
      </c>
    </row>
    <row r="353" spans="1:9" x14ac:dyDescent="0.25">
      <c r="A353" t="str">
        <f>Raw_Inventory!A353</f>
        <v>P1352</v>
      </c>
      <c r="B353" t="str">
        <f>Raw_Inventory!B353</f>
        <v>Mouse</v>
      </c>
      <c r="C353" t="str">
        <f>Raw_Inventory!D353</f>
        <v>Asus</v>
      </c>
      <c r="D353">
        <f>Raw_Inventory!E353</f>
        <v>67</v>
      </c>
      <c r="E353">
        <f>Raw_Inventory!F353</f>
        <v>56</v>
      </c>
      <c r="F353">
        <f>Raw_Inventory!G353</f>
        <v>1200</v>
      </c>
      <c r="G353">
        <f t="shared" si="15"/>
        <v>11</v>
      </c>
      <c r="H353">
        <f t="shared" si="16"/>
        <v>13200</v>
      </c>
      <c r="I353" t="str">
        <f t="shared" si="17"/>
        <v>OK</v>
      </c>
    </row>
    <row r="354" spans="1:9" x14ac:dyDescent="0.25">
      <c r="A354" t="str">
        <f>Raw_Inventory!A354</f>
        <v>P1353</v>
      </c>
      <c r="B354" t="str">
        <f>Raw_Inventory!B354</f>
        <v>Tablet</v>
      </c>
      <c r="C354" t="str">
        <f>Raw_Inventory!D354</f>
        <v>Logitech</v>
      </c>
      <c r="D354">
        <f>Raw_Inventory!E354</f>
        <v>96</v>
      </c>
      <c r="E354">
        <f>Raw_Inventory!F354</f>
        <v>100</v>
      </c>
      <c r="F354">
        <f>Raw_Inventory!G354</f>
        <v>2500</v>
      </c>
      <c r="G354">
        <f t="shared" si="15"/>
        <v>-4</v>
      </c>
      <c r="H354">
        <f t="shared" si="16"/>
        <v>-10000</v>
      </c>
      <c r="I354" t="str">
        <f t="shared" si="17"/>
        <v>Low Stock</v>
      </c>
    </row>
    <row r="355" spans="1:9" x14ac:dyDescent="0.25">
      <c r="A355" t="str">
        <f>Raw_Inventory!A355</f>
        <v>P1354</v>
      </c>
      <c r="B355" t="str">
        <f>Raw_Inventory!B355</f>
        <v>Laptop</v>
      </c>
      <c r="C355" t="str">
        <f>Raw_Inventory!D355</f>
        <v>Lenovo</v>
      </c>
      <c r="D355">
        <f>Raw_Inventory!E355</f>
        <v>96</v>
      </c>
      <c r="E355">
        <f>Raw_Inventory!F355</f>
        <v>133</v>
      </c>
      <c r="F355">
        <f>Raw_Inventory!G355</f>
        <v>12000</v>
      </c>
      <c r="G355">
        <f t="shared" si="15"/>
        <v>-37</v>
      </c>
      <c r="H355">
        <f t="shared" si="16"/>
        <v>-444000</v>
      </c>
      <c r="I355" t="str">
        <f t="shared" si="17"/>
        <v>Low Stock</v>
      </c>
    </row>
    <row r="356" spans="1:9" x14ac:dyDescent="0.25">
      <c r="A356" t="str">
        <f>Raw_Inventory!A356</f>
        <v>P1355</v>
      </c>
      <c r="B356" t="str">
        <f>Raw_Inventory!B356</f>
        <v>Laptop</v>
      </c>
      <c r="C356" t="str">
        <f>Raw_Inventory!D356</f>
        <v>Asus</v>
      </c>
      <c r="D356">
        <f>Raw_Inventory!E356</f>
        <v>111</v>
      </c>
      <c r="E356">
        <f>Raw_Inventory!F356</f>
        <v>89</v>
      </c>
      <c r="F356">
        <f>Raw_Inventory!G356</f>
        <v>12000</v>
      </c>
      <c r="G356">
        <f t="shared" si="15"/>
        <v>22</v>
      </c>
      <c r="H356">
        <f t="shared" si="16"/>
        <v>264000</v>
      </c>
      <c r="I356" t="str">
        <f t="shared" si="17"/>
        <v>OK</v>
      </c>
    </row>
    <row r="357" spans="1:9" x14ac:dyDescent="0.25">
      <c r="A357" t="str">
        <f>Raw_Inventory!A357</f>
        <v>P1356</v>
      </c>
      <c r="B357" t="str">
        <f>Raw_Inventory!B357</f>
        <v>Printer</v>
      </c>
      <c r="C357" t="str">
        <f>Raw_Inventory!D357</f>
        <v>Logitech</v>
      </c>
      <c r="D357">
        <f>Raw_Inventory!E357</f>
        <v>82</v>
      </c>
      <c r="E357">
        <f>Raw_Inventory!F357</f>
        <v>9</v>
      </c>
      <c r="F357">
        <f>Raw_Inventory!G357</f>
        <v>1200</v>
      </c>
      <c r="G357">
        <f t="shared" si="15"/>
        <v>73</v>
      </c>
      <c r="H357">
        <f t="shared" si="16"/>
        <v>87600</v>
      </c>
      <c r="I357" t="str">
        <f t="shared" si="17"/>
        <v>OK</v>
      </c>
    </row>
    <row r="358" spans="1:9" x14ac:dyDescent="0.25">
      <c r="A358" t="str">
        <f>Raw_Inventory!A358</f>
        <v>P1357</v>
      </c>
      <c r="B358" t="str">
        <f>Raw_Inventory!B358</f>
        <v>Printer</v>
      </c>
      <c r="C358" t="str">
        <f>Raw_Inventory!D358</f>
        <v>Asus</v>
      </c>
      <c r="D358">
        <f>Raw_Inventory!E358</f>
        <v>60</v>
      </c>
      <c r="E358">
        <f>Raw_Inventory!F358</f>
        <v>11</v>
      </c>
      <c r="F358">
        <f>Raw_Inventory!G358</f>
        <v>800</v>
      </c>
      <c r="G358">
        <f t="shared" si="15"/>
        <v>49</v>
      </c>
      <c r="H358">
        <f t="shared" si="16"/>
        <v>39200</v>
      </c>
      <c r="I358" t="str">
        <f t="shared" si="17"/>
        <v>OK</v>
      </c>
    </row>
    <row r="359" spans="1:9" x14ac:dyDescent="0.25">
      <c r="A359" t="str">
        <f>Raw_Inventory!A359</f>
        <v>P1358</v>
      </c>
      <c r="B359" t="str">
        <f>Raw_Inventory!B359</f>
        <v>Webcam</v>
      </c>
      <c r="C359" t="str">
        <f>Raw_Inventory!D359</f>
        <v>Canon</v>
      </c>
      <c r="D359">
        <f>Raw_Inventory!E359</f>
        <v>131</v>
      </c>
      <c r="E359">
        <f>Raw_Inventory!F359</f>
        <v>45</v>
      </c>
      <c r="F359">
        <f>Raw_Inventory!G359</f>
        <v>30000</v>
      </c>
      <c r="G359">
        <f t="shared" si="15"/>
        <v>86</v>
      </c>
      <c r="H359">
        <f t="shared" si="16"/>
        <v>2580000</v>
      </c>
      <c r="I359" t="str">
        <f t="shared" si="17"/>
        <v>OK</v>
      </c>
    </row>
    <row r="360" spans="1:9" x14ac:dyDescent="0.25">
      <c r="A360" t="str">
        <f>Raw_Inventory!A360</f>
        <v>P1359</v>
      </c>
      <c r="B360" t="str">
        <f>Raw_Inventory!B360</f>
        <v>Router</v>
      </c>
      <c r="C360" t="str">
        <f>Raw_Inventory!D360</f>
        <v>TP-Link</v>
      </c>
      <c r="D360">
        <f>Raw_Inventory!E360</f>
        <v>71</v>
      </c>
      <c r="E360">
        <f>Raw_Inventory!F360</f>
        <v>139</v>
      </c>
      <c r="F360">
        <f>Raw_Inventory!G360</f>
        <v>12000</v>
      </c>
      <c r="G360">
        <f t="shared" si="15"/>
        <v>-68</v>
      </c>
      <c r="H360">
        <f t="shared" si="16"/>
        <v>-816000</v>
      </c>
      <c r="I360" t="str">
        <f t="shared" si="17"/>
        <v>Low Stock</v>
      </c>
    </row>
    <row r="361" spans="1:9" x14ac:dyDescent="0.25">
      <c r="A361" t="str">
        <f>Raw_Inventory!A361</f>
        <v>P1360</v>
      </c>
      <c r="B361" t="str">
        <f>Raw_Inventory!B361</f>
        <v>SSD</v>
      </c>
      <c r="C361" t="str">
        <f>Raw_Inventory!D361</f>
        <v>Canon</v>
      </c>
      <c r="D361">
        <f>Raw_Inventory!E361</f>
        <v>134</v>
      </c>
      <c r="E361">
        <f>Raw_Inventory!F361</f>
        <v>55</v>
      </c>
      <c r="F361">
        <f>Raw_Inventory!G361</f>
        <v>12000</v>
      </c>
      <c r="G361">
        <f t="shared" si="15"/>
        <v>79</v>
      </c>
      <c r="H361">
        <f t="shared" si="16"/>
        <v>948000</v>
      </c>
      <c r="I361" t="str">
        <f t="shared" si="17"/>
        <v>OK</v>
      </c>
    </row>
    <row r="362" spans="1:9" x14ac:dyDescent="0.25">
      <c r="A362" t="str">
        <f>Raw_Inventory!A362</f>
        <v>P1361</v>
      </c>
      <c r="B362" t="str">
        <f>Raw_Inventory!B362</f>
        <v>Monitor</v>
      </c>
      <c r="C362" t="str">
        <f>Raw_Inventory!D362</f>
        <v>Acer</v>
      </c>
      <c r="D362">
        <f>Raw_Inventory!E362</f>
        <v>57</v>
      </c>
      <c r="E362">
        <f>Raw_Inventory!F362</f>
        <v>45</v>
      </c>
      <c r="F362">
        <f>Raw_Inventory!G362</f>
        <v>30000</v>
      </c>
      <c r="G362">
        <f t="shared" si="15"/>
        <v>12</v>
      </c>
      <c r="H362">
        <f t="shared" si="16"/>
        <v>360000</v>
      </c>
      <c r="I362" t="str">
        <f t="shared" si="17"/>
        <v>OK</v>
      </c>
    </row>
    <row r="363" spans="1:9" x14ac:dyDescent="0.25">
      <c r="A363" t="str">
        <f>Raw_Inventory!A363</f>
        <v>P1362</v>
      </c>
      <c r="B363" t="str">
        <f>Raw_Inventory!B363</f>
        <v>Tablet</v>
      </c>
      <c r="C363" t="str">
        <f>Raw_Inventory!D363</f>
        <v>TP-Link</v>
      </c>
      <c r="D363">
        <f>Raw_Inventory!E363</f>
        <v>82</v>
      </c>
      <c r="E363">
        <f>Raw_Inventory!F363</f>
        <v>139</v>
      </c>
      <c r="F363">
        <f>Raw_Inventory!G363</f>
        <v>30000</v>
      </c>
      <c r="G363">
        <f t="shared" si="15"/>
        <v>-57</v>
      </c>
      <c r="H363">
        <f t="shared" si="16"/>
        <v>-1710000</v>
      </c>
      <c r="I363" t="str">
        <f t="shared" si="17"/>
        <v>Low Stock</v>
      </c>
    </row>
    <row r="364" spans="1:9" x14ac:dyDescent="0.25">
      <c r="A364" t="str">
        <f>Raw_Inventory!A364</f>
        <v>P1363</v>
      </c>
      <c r="B364" t="str">
        <f>Raw_Inventory!B364</f>
        <v>Monitor</v>
      </c>
      <c r="C364" t="str">
        <f>Raw_Inventory!D364</f>
        <v>HP</v>
      </c>
      <c r="D364">
        <f>Raw_Inventory!E364</f>
        <v>124</v>
      </c>
      <c r="E364">
        <f>Raw_Inventory!F364</f>
        <v>44</v>
      </c>
      <c r="F364">
        <f>Raw_Inventory!G364</f>
        <v>1500</v>
      </c>
      <c r="G364">
        <f t="shared" si="15"/>
        <v>80</v>
      </c>
      <c r="H364">
        <f t="shared" si="16"/>
        <v>120000</v>
      </c>
      <c r="I364" t="str">
        <f t="shared" si="17"/>
        <v>OK</v>
      </c>
    </row>
    <row r="365" spans="1:9" x14ac:dyDescent="0.25">
      <c r="A365" t="str">
        <f>Raw_Inventory!A365</f>
        <v>P1364</v>
      </c>
      <c r="B365" t="str">
        <f>Raw_Inventory!B365</f>
        <v>Tablet</v>
      </c>
      <c r="C365" t="str">
        <f>Raw_Inventory!D365</f>
        <v>TP-Link</v>
      </c>
      <c r="D365">
        <f>Raw_Inventory!E365</f>
        <v>51</v>
      </c>
      <c r="E365">
        <f>Raw_Inventory!F365</f>
        <v>54</v>
      </c>
      <c r="F365">
        <f>Raw_Inventory!G365</f>
        <v>800</v>
      </c>
      <c r="G365">
        <f t="shared" si="15"/>
        <v>-3</v>
      </c>
      <c r="H365">
        <f t="shared" si="16"/>
        <v>-2400</v>
      </c>
      <c r="I365" t="str">
        <f t="shared" si="17"/>
        <v>Low Stock</v>
      </c>
    </row>
    <row r="366" spans="1:9" x14ac:dyDescent="0.25">
      <c r="A366" t="str">
        <f>Raw_Inventory!A366</f>
        <v>P1365</v>
      </c>
      <c r="B366" t="str">
        <f>Raw_Inventory!B366</f>
        <v>SSD</v>
      </c>
      <c r="C366" t="str">
        <f>Raw_Inventory!D366</f>
        <v>Seagate</v>
      </c>
      <c r="D366">
        <f>Raw_Inventory!E366</f>
        <v>167</v>
      </c>
      <c r="E366">
        <f>Raw_Inventory!F366</f>
        <v>105</v>
      </c>
      <c r="F366">
        <f>Raw_Inventory!G366</f>
        <v>2500</v>
      </c>
      <c r="G366">
        <f t="shared" si="15"/>
        <v>62</v>
      </c>
      <c r="H366">
        <f t="shared" si="16"/>
        <v>155000</v>
      </c>
      <c r="I366" t="str">
        <f t="shared" si="17"/>
        <v>OK</v>
      </c>
    </row>
    <row r="367" spans="1:9" x14ac:dyDescent="0.25">
      <c r="A367" t="str">
        <f>Raw_Inventory!A367</f>
        <v>P1366</v>
      </c>
      <c r="B367" t="str">
        <f>Raw_Inventory!B367</f>
        <v>Printer</v>
      </c>
      <c r="C367" t="str">
        <f>Raw_Inventory!D367</f>
        <v>Lenovo</v>
      </c>
      <c r="D367">
        <f>Raw_Inventory!E367</f>
        <v>104</v>
      </c>
      <c r="E367">
        <f>Raw_Inventory!F367</f>
        <v>54</v>
      </c>
      <c r="F367">
        <f>Raw_Inventory!G367</f>
        <v>800</v>
      </c>
      <c r="G367">
        <f t="shared" si="15"/>
        <v>50</v>
      </c>
      <c r="H367">
        <f t="shared" si="16"/>
        <v>40000</v>
      </c>
      <c r="I367" t="str">
        <f t="shared" si="17"/>
        <v>OK</v>
      </c>
    </row>
    <row r="368" spans="1:9" x14ac:dyDescent="0.25">
      <c r="A368" t="str">
        <f>Raw_Inventory!A368</f>
        <v>P1367</v>
      </c>
      <c r="B368" t="str">
        <f>Raw_Inventory!B368</f>
        <v>Printer</v>
      </c>
      <c r="C368" t="str">
        <f>Raw_Inventory!D368</f>
        <v>Dell</v>
      </c>
      <c r="D368">
        <f>Raw_Inventory!E368</f>
        <v>23</v>
      </c>
      <c r="E368">
        <f>Raw_Inventory!F368</f>
        <v>116</v>
      </c>
      <c r="F368">
        <f>Raw_Inventory!G368</f>
        <v>800</v>
      </c>
      <c r="G368">
        <f t="shared" si="15"/>
        <v>-93</v>
      </c>
      <c r="H368">
        <f t="shared" si="16"/>
        <v>-74400</v>
      </c>
      <c r="I368" t="str">
        <f t="shared" si="17"/>
        <v>Low Stock</v>
      </c>
    </row>
    <row r="369" spans="1:9" x14ac:dyDescent="0.25">
      <c r="A369" t="str">
        <f>Raw_Inventory!A369</f>
        <v>P1368</v>
      </c>
      <c r="B369" t="str">
        <f>Raw_Inventory!B369</f>
        <v>Router</v>
      </c>
      <c r="C369" t="str">
        <f>Raw_Inventory!D369</f>
        <v>Samsung</v>
      </c>
      <c r="D369">
        <f>Raw_Inventory!E369</f>
        <v>174</v>
      </c>
      <c r="E369">
        <f>Raw_Inventory!F369</f>
        <v>37</v>
      </c>
      <c r="F369">
        <f>Raw_Inventory!G369</f>
        <v>12000</v>
      </c>
      <c r="G369">
        <f t="shared" si="15"/>
        <v>137</v>
      </c>
      <c r="H369">
        <f t="shared" si="16"/>
        <v>1644000</v>
      </c>
      <c r="I369" t="str">
        <f t="shared" si="17"/>
        <v>OK</v>
      </c>
    </row>
    <row r="370" spans="1:9" x14ac:dyDescent="0.25">
      <c r="A370" t="str">
        <f>Raw_Inventory!A370</f>
        <v>P1369</v>
      </c>
      <c r="B370" t="str">
        <f>Raw_Inventory!B370</f>
        <v>SSD</v>
      </c>
      <c r="C370" t="str">
        <f>Raw_Inventory!D370</f>
        <v>Canon</v>
      </c>
      <c r="D370">
        <f>Raw_Inventory!E370</f>
        <v>151</v>
      </c>
      <c r="E370">
        <f>Raw_Inventory!F370</f>
        <v>85</v>
      </c>
      <c r="F370">
        <f>Raw_Inventory!G370</f>
        <v>1500</v>
      </c>
      <c r="G370">
        <f t="shared" si="15"/>
        <v>66</v>
      </c>
      <c r="H370">
        <f t="shared" si="16"/>
        <v>99000</v>
      </c>
      <c r="I370" t="str">
        <f t="shared" si="17"/>
        <v>OK</v>
      </c>
    </row>
    <row r="371" spans="1:9" x14ac:dyDescent="0.25">
      <c r="A371" t="str">
        <f>Raw_Inventory!A371</f>
        <v>P1370</v>
      </c>
      <c r="B371" t="str">
        <f>Raw_Inventory!B371</f>
        <v>Tablet</v>
      </c>
      <c r="C371" t="str">
        <f>Raw_Inventory!D371</f>
        <v>Lenovo</v>
      </c>
      <c r="D371">
        <f>Raw_Inventory!E371</f>
        <v>62</v>
      </c>
      <c r="E371">
        <f>Raw_Inventory!F371</f>
        <v>42</v>
      </c>
      <c r="F371">
        <f>Raw_Inventory!G371</f>
        <v>500</v>
      </c>
      <c r="G371">
        <f t="shared" si="15"/>
        <v>20</v>
      </c>
      <c r="H371">
        <f t="shared" si="16"/>
        <v>10000</v>
      </c>
      <c r="I371" t="str">
        <f t="shared" si="17"/>
        <v>OK</v>
      </c>
    </row>
    <row r="372" spans="1:9" x14ac:dyDescent="0.25">
      <c r="A372" t="str">
        <f>Raw_Inventory!A372</f>
        <v>P1371</v>
      </c>
      <c r="B372" t="str">
        <f>Raw_Inventory!B372</f>
        <v>Laptop</v>
      </c>
      <c r="C372" t="str">
        <f>Raw_Inventory!D372</f>
        <v>Seagate</v>
      </c>
      <c r="D372">
        <f>Raw_Inventory!E372</f>
        <v>79</v>
      </c>
      <c r="E372">
        <f>Raw_Inventory!F372</f>
        <v>58</v>
      </c>
      <c r="F372">
        <f>Raw_Inventory!G372</f>
        <v>1200</v>
      </c>
      <c r="G372">
        <f t="shared" si="15"/>
        <v>21</v>
      </c>
      <c r="H372">
        <f t="shared" si="16"/>
        <v>25200</v>
      </c>
      <c r="I372" t="str">
        <f t="shared" si="17"/>
        <v>OK</v>
      </c>
    </row>
    <row r="373" spans="1:9" x14ac:dyDescent="0.25">
      <c r="A373" t="str">
        <f>Raw_Inventory!A373</f>
        <v>P1372</v>
      </c>
      <c r="B373" t="str">
        <f>Raw_Inventory!B373</f>
        <v>Webcam</v>
      </c>
      <c r="C373" t="str">
        <f>Raw_Inventory!D373</f>
        <v>Samsung</v>
      </c>
      <c r="D373">
        <f>Raw_Inventory!E373</f>
        <v>87</v>
      </c>
      <c r="E373">
        <f>Raw_Inventory!F373</f>
        <v>108</v>
      </c>
      <c r="F373">
        <f>Raw_Inventory!G373</f>
        <v>8000</v>
      </c>
      <c r="G373">
        <f t="shared" si="15"/>
        <v>-21</v>
      </c>
      <c r="H373">
        <f t="shared" si="16"/>
        <v>-168000</v>
      </c>
      <c r="I373" t="str">
        <f t="shared" si="17"/>
        <v>Low Stock</v>
      </c>
    </row>
    <row r="374" spans="1:9" x14ac:dyDescent="0.25">
      <c r="A374" t="str">
        <f>Raw_Inventory!A374</f>
        <v>P1373</v>
      </c>
      <c r="B374" t="str">
        <f>Raw_Inventory!B374</f>
        <v>Keyboard</v>
      </c>
      <c r="C374" t="str">
        <f>Raw_Inventory!D374</f>
        <v>HP</v>
      </c>
      <c r="D374">
        <f>Raw_Inventory!E374</f>
        <v>46</v>
      </c>
      <c r="E374">
        <f>Raw_Inventory!F374</f>
        <v>138</v>
      </c>
      <c r="F374">
        <f>Raw_Inventory!G374</f>
        <v>800</v>
      </c>
      <c r="G374">
        <f t="shared" si="15"/>
        <v>-92</v>
      </c>
      <c r="H374">
        <f t="shared" si="16"/>
        <v>-73600</v>
      </c>
      <c r="I374" t="str">
        <f t="shared" si="17"/>
        <v>Low Stock</v>
      </c>
    </row>
    <row r="375" spans="1:9" x14ac:dyDescent="0.25">
      <c r="A375" t="str">
        <f>Raw_Inventory!A375</f>
        <v>P1374</v>
      </c>
      <c r="B375" t="str">
        <f>Raw_Inventory!B375</f>
        <v>Router</v>
      </c>
      <c r="C375" t="str">
        <f>Raw_Inventory!D375</f>
        <v>Logitech</v>
      </c>
      <c r="D375">
        <f>Raw_Inventory!E375</f>
        <v>128</v>
      </c>
      <c r="E375">
        <f>Raw_Inventory!F375</f>
        <v>23</v>
      </c>
      <c r="F375">
        <f>Raw_Inventory!G375</f>
        <v>8000</v>
      </c>
      <c r="G375">
        <f t="shared" si="15"/>
        <v>105</v>
      </c>
      <c r="H375">
        <f t="shared" si="16"/>
        <v>840000</v>
      </c>
      <c r="I375" t="str">
        <f t="shared" si="17"/>
        <v>OK</v>
      </c>
    </row>
    <row r="376" spans="1:9" x14ac:dyDescent="0.25">
      <c r="A376" t="str">
        <f>Raw_Inventory!A376</f>
        <v>P1375</v>
      </c>
      <c r="B376" t="str">
        <f>Raw_Inventory!B376</f>
        <v>Monitor</v>
      </c>
      <c r="C376" t="str">
        <f>Raw_Inventory!D376</f>
        <v>Canon</v>
      </c>
      <c r="D376">
        <f>Raw_Inventory!E376</f>
        <v>34</v>
      </c>
      <c r="E376">
        <f>Raw_Inventory!F376</f>
        <v>11</v>
      </c>
      <c r="F376">
        <f>Raw_Inventory!G376</f>
        <v>12000</v>
      </c>
      <c r="G376">
        <f t="shared" si="15"/>
        <v>23</v>
      </c>
      <c r="H376">
        <f t="shared" si="16"/>
        <v>276000</v>
      </c>
      <c r="I376" t="str">
        <f t="shared" si="17"/>
        <v>OK</v>
      </c>
    </row>
    <row r="377" spans="1:9" x14ac:dyDescent="0.25">
      <c r="A377" t="str">
        <f>Raw_Inventory!A377</f>
        <v>P1376</v>
      </c>
      <c r="B377" t="str">
        <f>Raw_Inventory!B377</f>
        <v>Headphones</v>
      </c>
      <c r="C377" t="str">
        <f>Raw_Inventory!D377</f>
        <v>Seagate</v>
      </c>
      <c r="D377">
        <f>Raw_Inventory!E377</f>
        <v>113</v>
      </c>
      <c r="E377">
        <f>Raw_Inventory!F377</f>
        <v>26</v>
      </c>
      <c r="F377">
        <f>Raw_Inventory!G377</f>
        <v>500</v>
      </c>
      <c r="G377">
        <f t="shared" si="15"/>
        <v>87</v>
      </c>
      <c r="H377">
        <f t="shared" si="16"/>
        <v>43500</v>
      </c>
      <c r="I377" t="str">
        <f t="shared" si="17"/>
        <v>OK</v>
      </c>
    </row>
    <row r="378" spans="1:9" x14ac:dyDescent="0.25">
      <c r="A378" t="str">
        <f>Raw_Inventory!A378</f>
        <v>P1377</v>
      </c>
      <c r="B378" t="str">
        <f>Raw_Inventory!B378</f>
        <v>Keyboard</v>
      </c>
      <c r="C378" t="str">
        <f>Raw_Inventory!D378</f>
        <v>Canon</v>
      </c>
      <c r="D378">
        <f>Raw_Inventory!E378</f>
        <v>103</v>
      </c>
      <c r="E378">
        <f>Raw_Inventory!F378</f>
        <v>82</v>
      </c>
      <c r="F378">
        <f>Raw_Inventory!G378</f>
        <v>2500</v>
      </c>
      <c r="G378">
        <f t="shared" si="15"/>
        <v>21</v>
      </c>
      <c r="H378">
        <f t="shared" si="16"/>
        <v>52500</v>
      </c>
      <c r="I378" t="str">
        <f t="shared" si="17"/>
        <v>OK</v>
      </c>
    </row>
    <row r="379" spans="1:9" x14ac:dyDescent="0.25">
      <c r="A379" t="str">
        <f>Raw_Inventory!A379</f>
        <v>P1378</v>
      </c>
      <c r="B379" t="str">
        <f>Raw_Inventory!B379</f>
        <v>Headphones</v>
      </c>
      <c r="C379" t="str">
        <f>Raw_Inventory!D379</f>
        <v>HP</v>
      </c>
      <c r="D379">
        <f>Raw_Inventory!E379</f>
        <v>34</v>
      </c>
      <c r="E379">
        <f>Raw_Inventory!F379</f>
        <v>97</v>
      </c>
      <c r="F379">
        <f>Raw_Inventory!G379</f>
        <v>55000</v>
      </c>
      <c r="G379">
        <f t="shared" si="15"/>
        <v>-63</v>
      </c>
      <c r="H379">
        <f t="shared" si="16"/>
        <v>-3465000</v>
      </c>
      <c r="I379" t="str">
        <f t="shared" si="17"/>
        <v>Low Stock</v>
      </c>
    </row>
    <row r="380" spans="1:9" x14ac:dyDescent="0.25">
      <c r="A380" t="str">
        <f>Raw_Inventory!A380</f>
        <v>P1379</v>
      </c>
      <c r="B380" t="str">
        <f>Raw_Inventory!B380</f>
        <v>Webcam</v>
      </c>
      <c r="C380" t="str">
        <f>Raw_Inventory!D380</f>
        <v>Canon</v>
      </c>
      <c r="D380">
        <f>Raw_Inventory!E380</f>
        <v>122</v>
      </c>
      <c r="E380">
        <f>Raw_Inventory!F380</f>
        <v>54</v>
      </c>
      <c r="F380">
        <f>Raw_Inventory!G380</f>
        <v>1500</v>
      </c>
      <c r="G380">
        <f t="shared" si="15"/>
        <v>68</v>
      </c>
      <c r="H380">
        <f t="shared" si="16"/>
        <v>102000</v>
      </c>
      <c r="I380" t="str">
        <f t="shared" si="17"/>
        <v>OK</v>
      </c>
    </row>
    <row r="381" spans="1:9" x14ac:dyDescent="0.25">
      <c r="A381" t="str">
        <f>Raw_Inventory!A381</f>
        <v>P1380</v>
      </c>
      <c r="B381" t="str">
        <f>Raw_Inventory!B381</f>
        <v>Printer</v>
      </c>
      <c r="C381" t="str">
        <f>Raw_Inventory!D381</f>
        <v>Seagate</v>
      </c>
      <c r="D381">
        <f>Raw_Inventory!E381</f>
        <v>110</v>
      </c>
      <c r="E381">
        <f>Raw_Inventory!F381</f>
        <v>115</v>
      </c>
      <c r="F381">
        <f>Raw_Inventory!G381</f>
        <v>55000</v>
      </c>
      <c r="G381">
        <f t="shared" si="15"/>
        <v>-5</v>
      </c>
      <c r="H381">
        <f t="shared" si="16"/>
        <v>-275000</v>
      </c>
      <c r="I381" t="str">
        <f t="shared" si="17"/>
        <v>Low Stock</v>
      </c>
    </row>
    <row r="382" spans="1:9" x14ac:dyDescent="0.25">
      <c r="A382" t="str">
        <f>Raw_Inventory!A382</f>
        <v>P1381</v>
      </c>
      <c r="B382" t="str">
        <f>Raw_Inventory!B382</f>
        <v>Monitor</v>
      </c>
      <c r="C382" t="str">
        <f>Raw_Inventory!D382</f>
        <v>Samsung</v>
      </c>
      <c r="D382">
        <f>Raw_Inventory!E382</f>
        <v>72</v>
      </c>
      <c r="E382">
        <f>Raw_Inventory!F382</f>
        <v>30</v>
      </c>
      <c r="F382">
        <f>Raw_Inventory!G382</f>
        <v>30000</v>
      </c>
      <c r="G382">
        <f t="shared" si="15"/>
        <v>42</v>
      </c>
      <c r="H382">
        <f t="shared" si="16"/>
        <v>1260000</v>
      </c>
      <c r="I382" t="str">
        <f t="shared" si="17"/>
        <v>OK</v>
      </c>
    </row>
    <row r="383" spans="1:9" x14ac:dyDescent="0.25">
      <c r="A383" t="str">
        <f>Raw_Inventory!A383</f>
        <v>P1382</v>
      </c>
      <c r="B383" t="str">
        <f>Raw_Inventory!B383</f>
        <v>Tablet</v>
      </c>
      <c r="C383" t="str">
        <f>Raw_Inventory!D383</f>
        <v>Logitech</v>
      </c>
      <c r="D383">
        <f>Raw_Inventory!E383</f>
        <v>64</v>
      </c>
      <c r="E383">
        <f>Raw_Inventory!F383</f>
        <v>19</v>
      </c>
      <c r="F383">
        <f>Raw_Inventory!G383</f>
        <v>1500</v>
      </c>
      <c r="G383">
        <f t="shared" si="15"/>
        <v>45</v>
      </c>
      <c r="H383">
        <f t="shared" si="16"/>
        <v>67500</v>
      </c>
      <c r="I383" t="str">
        <f t="shared" si="17"/>
        <v>OK</v>
      </c>
    </row>
    <row r="384" spans="1:9" x14ac:dyDescent="0.25">
      <c r="A384" t="str">
        <f>Raw_Inventory!A384</f>
        <v>P1383</v>
      </c>
      <c r="B384" t="str">
        <f>Raw_Inventory!B384</f>
        <v>Laptop</v>
      </c>
      <c r="C384" t="str">
        <f>Raw_Inventory!D384</f>
        <v>HP</v>
      </c>
      <c r="D384">
        <f>Raw_Inventory!E384</f>
        <v>144</v>
      </c>
      <c r="E384">
        <f>Raw_Inventory!F384</f>
        <v>121</v>
      </c>
      <c r="F384">
        <f>Raw_Inventory!G384</f>
        <v>1200</v>
      </c>
      <c r="G384">
        <f t="shared" si="15"/>
        <v>23</v>
      </c>
      <c r="H384">
        <f t="shared" si="16"/>
        <v>27600</v>
      </c>
      <c r="I384" t="str">
        <f t="shared" si="17"/>
        <v>OK</v>
      </c>
    </row>
    <row r="385" spans="1:9" x14ac:dyDescent="0.25">
      <c r="A385" t="str">
        <f>Raw_Inventory!A385</f>
        <v>P1384</v>
      </c>
      <c r="B385" t="str">
        <f>Raw_Inventory!B385</f>
        <v>Router</v>
      </c>
      <c r="C385" t="str">
        <f>Raw_Inventory!D385</f>
        <v>HP</v>
      </c>
      <c r="D385">
        <f>Raw_Inventory!E385</f>
        <v>184</v>
      </c>
      <c r="E385">
        <f>Raw_Inventory!F385</f>
        <v>116</v>
      </c>
      <c r="F385">
        <f>Raw_Inventory!G385</f>
        <v>800</v>
      </c>
      <c r="G385">
        <f t="shared" si="15"/>
        <v>68</v>
      </c>
      <c r="H385">
        <f t="shared" si="16"/>
        <v>54400</v>
      </c>
      <c r="I385" t="str">
        <f t="shared" si="17"/>
        <v>OK</v>
      </c>
    </row>
    <row r="386" spans="1:9" x14ac:dyDescent="0.25">
      <c r="A386" t="str">
        <f>Raw_Inventory!A386</f>
        <v>P1385</v>
      </c>
      <c r="B386" t="str">
        <f>Raw_Inventory!B386</f>
        <v>Keyboard</v>
      </c>
      <c r="C386" t="str">
        <f>Raw_Inventory!D386</f>
        <v>Acer</v>
      </c>
      <c r="D386">
        <f>Raw_Inventory!E386</f>
        <v>121</v>
      </c>
      <c r="E386">
        <f>Raw_Inventory!F386</f>
        <v>119</v>
      </c>
      <c r="F386">
        <f>Raw_Inventory!G386</f>
        <v>30000</v>
      </c>
      <c r="G386">
        <f t="shared" si="15"/>
        <v>2</v>
      </c>
      <c r="H386">
        <f t="shared" si="16"/>
        <v>60000</v>
      </c>
      <c r="I386" t="str">
        <f t="shared" si="17"/>
        <v>Low Stock</v>
      </c>
    </row>
    <row r="387" spans="1:9" x14ac:dyDescent="0.25">
      <c r="A387" t="str">
        <f>Raw_Inventory!A387</f>
        <v>P1386</v>
      </c>
      <c r="B387" t="str">
        <f>Raw_Inventory!B387</f>
        <v>Webcam</v>
      </c>
      <c r="C387" t="str">
        <f>Raw_Inventory!D387</f>
        <v>Acer</v>
      </c>
      <c r="D387">
        <f>Raw_Inventory!E387</f>
        <v>24</v>
      </c>
      <c r="E387">
        <f>Raw_Inventory!F387</f>
        <v>109</v>
      </c>
      <c r="F387">
        <f>Raw_Inventory!G387</f>
        <v>5000</v>
      </c>
      <c r="G387">
        <f t="shared" ref="G387:G450" si="18" xml:space="preserve"> D387 - E387</f>
        <v>-85</v>
      </c>
      <c r="H387">
        <f t="shared" ref="H387:H450" si="19" xml:space="preserve"> G387 * F387</f>
        <v>-425000</v>
      </c>
      <c r="I387" t="str">
        <f t="shared" ref="I387:I450" si="20">IF(G387&lt;10,"Low Stock","OK")</f>
        <v>Low Stock</v>
      </c>
    </row>
    <row r="388" spans="1:9" x14ac:dyDescent="0.25">
      <c r="A388" t="str">
        <f>Raw_Inventory!A388</f>
        <v>P1387</v>
      </c>
      <c r="B388" t="str">
        <f>Raw_Inventory!B388</f>
        <v>Printer</v>
      </c>
      <c r="C388" t="str">
        <f>Raw_Inventory!D388</f>
        <v>Lenovo</v>
      </c>
      <c r="D388">
        <f>Raw_Inventory!E388</f>
        <v>178</v>
      </c>
      <c r="E388">
        <f>Raw_Inventory!F388</f>
        <v>134</v>
      </c>
      <c r="F388">
        <f>Raw_Inventory!G388</f>
        <v>12000</v>
      </c>
      <c r="G388">
        <f t="shared" si="18"/>
        <v>44</v>
      </c>
      <c r="H388">
        <f t="shared" si="19"/>
        <v>528000</v>
      </c>
      <c r="I388" t="str">
        <f t="shared" si="20"/>
        <v>OK</v>
      </c>
    </row>
    <row r="389" spans="1:9" x14ac:dyDescent="0.25">
      <c r="A389" t="str">
        <f>Raw_Inventory!A389</f>
        <v>P1388</v>
      </c>
      <c r="B389" t="str">
        <f>Raw_Inventory!B389</f>
        <v>Headphones</v>
      </c>
      <c r="C389" t="str">
        <f>Raw_Inventory!D389</f>
        <v>Asus</v>
      </c>
      <c r="D389">
        <f>Raw_Inventory!E389</f>
        <v>130</v>
      </c>
      <c r="E389">
        <f>Raw_Inventory!F389</f>
        <v>86</v>
      </c>
      <c r="F389">
        <f>Raw_Inventory!G389</f>
        <v>30000</v>
      </c>
      <c r="G389">
        <f t="shared" si="18"/>
        <v>44</v>
      </c>
      <c r="H389">
        <f t="shared" si="19"/>
        <v>1320000</v>
      </c>
      <c r="I389" t="str">
        <f t="shared" si="20"/>
        <v>OK</v>
      </c>
    </row>
    <row r="390" spans="1:9" x14ac:dyDescent="0.25">
      <c r="A390" t="str">
        <f>Raw_Inventory!A390</f>
        <v>P1389</v>
      </c>
      <c r="B390" t="str">
        <f>Raw_Inventory!B390</f>
        <v>Headphones</v>
      </c>
      <c r="C390" t="str">
        <f>Raw_Inventory!D390</f>
        <v>HP</v>
      </c>
      <c r="D390">
        <f>Raw_Inventory!E390</f>
        <v>126</v>
      </c>
      <c r="E390">
        <f>Raw_Inventory!F390</f>
        <v>30</v>
      </c>
      <c r="F390">
        <f>Raw_Inventory!G390</f>
        <v>55000</v>
      </c>
      <c r="G390">
        <f t="shared" si="18"/>
        <v>96</v>
      </c>
      <c r="H390">
        <f t="shared" si="19"/>
        <v>5280000</v>
      </c>
      <c r="I390" t="str">
        <f t="shared" si="20"/>
        <v>OK</v>
      </c>
    </row>
    <row r="391" spans="1:9" x14ac:dyDescent="0.25">
      <c r="A391" t="str">
        <f>Raw_Inventory!A391</f>
        <v>P1390</v>
      </c>
      <c r="B391" t="str">
        <f>Raw_Inventory!B391</f>
        <v>Laptop</v>
      </c>
      <c r="C391" t="str">
        <f>Raw_Inventory!D391</f>
        <v>Dell</v>
      </c>
      <c r="D391">
        <f>Raw_Inventory!E391</f>
        <v>136</v>
      </c>
      <c r="E391">
        <f>Raw_Inventory!F391</f>
        <v>15</v>
      </c>
      <c r="F391">
        <f>Raw_Inventory!G391</f>
        <v>2500</v>
      </c>
      <c r="G391">
        <f t="shared" si="18"/>
        <v>121</v>
      </c>
      <c r="H391">
        <f t="shared" si="19"/>
        <v>302500</v>
      </c>
      <c r="I391" t="str">
        <f t="shared" si="20"/>
        <v>OK</v>
      </c>
    </row>
    <row r="392" spans="1:9" x14ac:dyDescent="0.25">
      <c r="A392" t="str">
        <f>Raw_Inventory!A392</f>
        <v>P1391</v>
      </c>
      <c r="B392" t="str">
        <f>Raw_Inventory!B392</f>
        <v>Router</v>
      </c>
      <c r="C392" t="str">
        <f>Raw_Inventory!D392</f>
        <v>Logitech</v>
      </c>
      <c r="D392">
        <f>Raw_Inventory!E392</f>
        <v>93</v>
      </c>
      <c r="E392">
        <f>Raw_Inventory!F392</f>
        <v>92</v>
      </c>
      <c r="F392">
        <f>Raw_Inventory!G392</f>
        <v>800</v>
      </c>
      <c r="G392">
        <f t="shared" si="18"/>
        <v>1</v>
      </c>
      <c r="H392">
        <f t="shared" si="19"/>
        <v>800</v>
      </c>
      <c r="I392" t="str">
        <f t="shared" si="20"/>
        <v>Low Stock</v>
      </c>
    </row>
    <row r="393" spans="1:9" x14ac:dyDescent="0.25">
      <c r="A393" t="str">
        <f>Raw_Inventory!A393</f>
        <v>P1392</v>
      </c>
      <c r="B393" t="str">
        <f>Raw_Inventory!B393</f>
        <v>Router</v>
      </c>
      <c r="C393" t="str">
        <f>Raw_Inventory!D393</f>
        <v>Lenovo</v>
      </c>
      <c r="D393">
        <f>Raw_Inventory!E393</f>
        <v>153</v>
      </c>
      <c r="E393">
        <f>Raw_Inventory!F393</f>
        <v>44</v>
      </c>
      <c r="F393">
        <f>Raw_Inventory!G393</f>
        <v>2500</v>
      </c>
      <c r="G393">
        <f t="shared" si="18"/>
        <v>109</v>
      </c>
      <c r="H393">
        <f t="shared" si="19"/>
        <v>272500</v>
      </c>
      <c r="I393" t="str">
        <f t="shared" si="20"/>
        <v>OK</v>
      </c>
    </row>
    <row r="394" spans="1:9" x14ac:dyDescent="0.25">
      <c r="A394" t="str">
        <f>Raw_Inventory!A394</f>
        <v>P1393</v>
      </c>
      <c r="B394" t="str">
        <f>Raw_Inventory!B394</f>
        <v>Keyboard</v>
      </c>
      <c r="C394" t="str">
        <f>Raw_Inventory!D394</f>
        <v>TP-Link</v>
      </c>
      <c r="D394">
        <f>Raw_Inventory!E394</f>
        <v>82</v>
      </c>
      <c r="E394">
        <f>Raw_Inventory!F394</f>
        <v>69</v>
      </c>
      <c r="F394">
        <f>Raw_Inventory!G394</f>
        <v>8000</v>
      </c>
      <c r="G394">
        <f t="shared" si="18"/>
        <v>13</v>
      </c>
      <c r="H394">
        <f t="shared" si="19"/>
        <v>104000</v>
      </c>
      <c r="I394" t="str">
        <f t="shared" si="20"/>
        <v>OK</v>
      </c>
    </row>
    <row r="395" spans="1:9" x14ac:dyDescent="0.25">
      <c r="A395" t="str">
        <f>Raw_Inventory!A395</f>
        <v>P1394</v>
      </c>
      <c r="B395" t="str">
        <f>Raw_Inventory!B395</f>
        <v>Tablet</v>
      </c>
      <c r="C395" t="str">
        <f>Raw_Inventory!D395</f>
        <v>Lenovo</v>
      </c>
      <c r="D395">
        <f>Raw_Inventory!E395</f>
        <v>120</v>
      </c>
      <c r="E395">
        <f>Raw_Inventory!F395</f>
        <v>65</v>
      </c>
      <c r="F395">
        <f>Raw_Inventory!G395</f>
        <v>1500</v>
      </c>
      <c r="G395">
        <f t="shared" si="18"/>
        <v>55</v>
      </c>
      <c r="H395">
        <f t="shared" si="19"/>
        <v>82500</v>
      </c>
      <c r="I395" t="str">
        <f t="shared" si="20"/>
        <v>OK</v>
      </c>
    </row>
    <row r="396" spans="1:9" x14ac:dyDescent="0.25">
      <c r="A396" t="str">
        <f>Raw_Inventory!A396</f>
        <v>P1395</v>
      </c>
      <c r="B396" t="str">
        <f>Raw_Inventory!B396</f>
        <v>Monitor</v>
      </c>
      <c r="C396" t="str">
        <f>Raw_Inventory!D396</f>
        <v>Seagate</v>
      </c>
      <c r="D396">
        <f>Raw_Inventory!E396</f>
        <v>90</v>
      </c>
      <c r="E396">
        <f>Raw_Inventory!F396</f>
        <v>32</v>
      </c>
      <c r="F396">
        <f>Raw_Inventory!G396</f>
        <v>2500</v>
      </c>
      <c r="G396">
        <f t="shared" si="18"/>
        <v>58</v>
      </c>
      <c r="H396">
        <f t="shared" si="19"/>
        <v>145000</v>
      </c>
      <c r="I396" t="str">
        <f t="shared" si="20"/>
        <v>OK</v>
      </c>
    </row>
    <row r="397" spans="1:9" x14ac:dyDescent="0.25">
      <c r="A397" t="str">
        <f>Raw_Inventory!A397</f>
        <v>P1396</v>
      </c>
      <c r="B397" t="str">
        <f>Raw_Inventory!B397</f>
        <v>Monitor</v>
      </c>
      <c r="C397" t="str">
        <f>Raw_Inventory!D397</f>
        <v>Logitech</v>
      </c>
      <c r="D397">
        <f>Raw_Inventory!E397</f>
        <v>102</v>
      </c>
      <c r="E397">
        <f>Raw_Inventory!F397</f>
        <v>123</v>
      </c>
      <c r="F397">
        <f>Raw_Inventory!G397</f>
        <v>1200</v>
      </c>
      <c r="G397">
        <f t="shared" si="18"/>
        <v>-21</v>
      </c>
      <c r="H397">
        <f t="shared" si="19"/>
        <v>-25200</v>
      </c>
      <c r="I397" t="str">
        <f t="shared" si="20"/>
        <v>Low Stock</v>
      </c>
    </row>
    <row r="398" spans="1:9" x14ac:dyDescent="0.25">
      <c r="A398" t="str">
        <f>Raw_Inventory!A398</f>
        <v>P1397</v>
      </c>
      <c r="B398" t="str">
        <f>Raw_Inventory!B398</f>
        <v>Laptop</v>
      </c>
      <c r="C398" t="str">
        <f>Raw_Inventory!D398</f>
        <v>HP</v>
      </c>
      <c r="D398">
        <f>Raw_Inventory!E398</f>
        <v>170</v>
      </c>
      <c r="E398">
        <f>Raw_Inventory!F398</f>
        <v>56</v>
      </c>
      <c r="F398">
        <f>Raw_Inventory!G398</f>
        <v>800</v>
      </c>
      <c r="G398">
        <f t="shared" si="18"/>
        <v>114</v>
      </c>
      <c r="H398">
        <f t="shared" si="19"/>
        <v>91200</v>
      </c>
      <c r="I398" t="str">
        <f t="shared" si="20"/>
        <v>OK</v>
      </c>
    </row>
    <row r="399" spans="1:9" x14ac:dyDescent="0.25">
      <c r="A399" t="str">
        <f>Raw_Inventory!A399</f>
        <v>P1398</v>
      </c>
      <c r="B399" t="str">
        <f>Raw_Inventory!B399</f>
        <v>Webcam</v>
      </c>
      <c r="C399" t="str">
        <f>Raw_Inventory!D399</f>
        <v>Acer</v>
      </c>
      <c r="D399">
        <f>Raw_Inventory!E399</f>
        <v>117</v>
      </c>
      <c r="E399">
        <f>Raw_Inventory!F399</f>
        <v>70</v>
      </c>
      <c r="F399">
        <f>Raw_Inventory!G399</f>
        <v>500</v>
      </c>
      <c r="G399">
        <f t="shared" si="18"/>
        <v>47</v>
      </c>
      <c r="H399">
        <f t="shared" si="19"/>
        <v>23500</v>
      </c>
      <c r="I399" t="str">
        <f t="shared" si="20"/>
        <v>OK</v>
      </c>
    </row>
    <row r="400" spans="1:9" x14ac:dyDescent="0.25">
      <c r="A400" t="str">
        <f>Raw_Inventory!A400</f>
        <v>P1399</v>
      </c>
      <c r="B400" t="str">
        <f>Raw_Inventory!B400</f>
        <v>Keyboard</v>
      </c>
      <c r="C400" t="str">
        <f>Raw_Inventory!D400</f>
        <v>Logitech</v>
      </c>
      <c r="D400">
        <f>Raw_Inventory!E400</f>
        <v>175</v>
      </c>
      <c r="E400">
        <f>Raw_Inventory!F400</f>
        <v>111</v>
      </c>
      <c r="F400">
        <f>Raw_Inventory!G400</f>
        <v>55000</v>
      </c>
      <c r="G400">
        <f t="shared" si="18"/>
        <v>64</v>
      </c>
      <c r="H400">
        <f t="shared" si="19"/>
        <v>3520000</v>
      </c>
      <c r="I400" t="str">
        <f t="shared" si="20"/>
        <v>OK</v>
      </c>
    </row>
    <row r="401" spans="1:9" x14ac:dyDescent="0.25">
      <c r="A401" t="str">
        <f>Raw_Inventory!A401</f>
        <v>P1400</v>
      </c>
      <c r="B401" t="str">
        <f>Raw_Inventory!B401</f>
        <v>Tablet</v>
      </c>
      <c r="C401" t="str">
        <f>Raw_Inventory!D401</f>
        <v>Canon</v>
      </c>
      <c r="D401">
        <f>Raw_Inventory!E401</f>
        <v>51</v>
      </c>
      <c r="E401">
        <f>Raw_Inventory!F401</f>
        <v>3</v>
      </c>
      <c r="F401">
        <f>Raw_Inventory!G401</f>
        <v>55000</v>
      </c>
      <c r="G401">
        <f t="shared" si="18"/>
        <v>48</v>
      </c>
      <c r="H401">
        <f t="shared" si="19"/>
        <v>2640000</v>
      </c>
      <c r="I401" t="str">
        <f t="shared" si="20"/>
        <v>OK</v>
      </c>
    </row>
    <row r="402" spans="1:9" x14ac:dyDescent="0.25">
      <c r="A402" t="str">
        <f>Raw_Inventory!A402</f>
        <v>P1401</v>
      </c>
      <c r="B402" t="str">
        <f>Raw_Inventory!B402</f>
        <v>SSD</v>
      </c>
      <c r="C402" t="str">
        <f>Raw_Inventory!D402</f>
        <v>TP-Link</v>
      </c>
      <c r="D402">
        <f>Raw_Inventory!E402</f>
        <v>191</v>
      </c>
      <c r="E402">
        <f>Raw_Inventory!F402</f>
        <v>90</v>
      </c>
      <c r="F402">
        <f>Raw_Inventory!G402</f>
        <v>800</v>
      </c>
      <c r="G402">
        <f t="shared" si="18"/>
        <v>101</v>
      </c>
      <c r="H402">
        <f t="shared" si="19"/>
        <v>80800</v>
      </c>
      <c r="I402" t="str">
        <f t="shared" si="20"/>
        <v>OK</v>
      </c>
    </row>
    <row r="403" spans="1:9" x14ac:dyDescent="0.25">
      <c r="A403" t="str">
        <f>Raw_Inventory!A403</f>
        <v>P1402</v>
      </c>
      <c r="B403" t="str">
        <f>Raw_Inventory!B403</f>
        <v>Mouse</v>
      </c>
      <c r="C403" t="str">
        <f>Raw_Inventory!D403</f>
        <v>Asus</v>
      </c>
      <c r="D403">
        <f>Raw_Inventory!E403</f>
        <v>105</v>
      </c>
      <c r="E403">
        <f>Raw_Inventory!F403</f>
        <v>86</v>
      </c>
      <c r="F403">
        <f>Raw_Inventory!G403</f>
        <v>800</v>
      </c>
      <c r="G403">
        <f t="shared" si="18"/>
        <v>19</v>
      </c>
      <c r="H403">
        <f t="shared" si="19"/>
        <v>15200</v>
      </c>
      <c r="I403" t="str">
        <f t="shared" si="20"/>
        <v>OK</v>
      </c>
    </row>
    <row r="404" spans="1:9" x14ac:dyDescent="0.25">
      <c r="A404" t="str">
        <f>Raw_Inventory!A404</f>
        <v>P1403</v>
      </c>
      <c r="B404" t="str">
        <f>Raw_Inventory!B404</f>
        <v>Headphones</v>
      </c>
      <c r="C404" t="str">
        <f>Raw_Inventory!D404</f>
        <v>Logitech</v>
      </c>
      <c r="D404">
        <f>Raw_Inventory!E404</f>
        <v>82</v>
      </c>
      <c r="E404">
        <f>Raw_Inventory!F404</f>
        <v>36</v>
      </c>
      <c r="F404">
        <f>Raw_Inventory!G404</f>
        <v>8000</v>
      </c>
      <c r="G404">
        <f t="shared" si="18"/>
        <v>46</v>
      </c>
      <c r="H404">
        <f t="shared" si="19"/>
        <v>368000</v>
      </c>
      <c r="I404" t="str">
        <f t="shared" si="20"/>
        <v>OK</v>
      </c>
    </row>
    <row r="405" spans="1:9" x14ac:dyDescent="0.25">
      <c r="A405" t="str">
        <f>Raw_Inventory!A405</f>
        <v>P1404</v>
      </c>
      <c r="B405" t="str">
        <f>Raw_Inventory!B405</f>
        <v>Keyboard</v>
      </c>
      <c r="C405" t="str">
        <f>Raw_Inventory!D405</f>
        <v>Lenovo</v>
      </c>
      <c r="D405">
        <f>Raw_Inventory!E405</f>
        <v>122</v>
      </c>
      <c r="E405">
        <f>Raw_Inventory!F405</f>
        <v>146</v>
      </c>
      <c r="F405">
        <f>Raw_Inventory!G405</f>
        <v>1200</v>
      </c>
      <c r="G405">
        <f t="shared" si="18"/>
        <v>-24</v>
      </c>
      <c r="H405">
        <f t="shared" si="19"/>
        <v>-28800</v>
      </c>
      <c r="I405" t="str">
        <f t="shared" si="20"/>
        <v>Low Stock</v>
      </c>
    </row>
    <row r="406" spans="1:9" x14ac:dyDescent="0.25">
      <c r="A406" t="str">
        <f>Raw_Inventory!A406</f>
        <v>P1405</v>
      </c>
      <c r="B406" t="str">
        <f>Raw_Inventory!B406</f>
        <v>Headphones</v>
      </c>
      <c r="C406" t="str">
        <f>Raw_Inventory!D406</f>
        <v>Logitech</v>
      </c>
      <c r="D406">
        <f>Raw_Inventory!E406</f>
        <v>142</v>
      </c>
      <c r="E406">
        <f>Raw_Inventory!F406</f>
        <v>78</v>
      </c>
      <c r="F406">
        <f>Raw_Inventory!G406</f>
        <v>2500</v>
      </c>
      <c r="G406">
        <f t="shared" si="18"/>
        <v>64</v>
      </c>
      <c r="H406">
        <f t="shared" si="19"/>
        <v>160000</v>
      </c>
      <c r="I406" t="str">
        <f t="shared" si="20"/>
        <v>OK</v>
      </c>
    </row>
    <row r="407" spans="1:9" x14ac:dyDescent="0.25">
      <c r="A407" t="str">
        <f>Raw_Inventory!A407</f>
        <v>P1406</v>
      </c>
      <c r="B407" t="str">
        <f>Raw_Inventory!B407</f>
        <v>Router</v>
      </c>
      <c r="C407" t="str">
        <f>Raw_Inventory!D407</f>
        <v>Lenovo</v>
      </c>
      <c r="D407">
        <f>Raw_Inventory!E407</f>
        <v>89</v>
      </c>
      <c r="E407">
        <f>Raw_Inventory!F407</f>
        <v>90</v>
      </c>
      <c r="F407">
        <f>Raw_Inventory!G407</f>
        <v>800</v>
      </c>
      <c r="G407">
        <f t="shared" si="18"/>
        <v>-1</v>
      </c>
      <c r="H407">
        <f t="shared" si="19"/>
        <v>-800</v>
      </c>
      <c r="I407" t="str">
        <f t="shared" si="20"/>
        <v>Low Stock</v>
      </c>
    </row>
    <row r="408" spans="1:9" x14ac:dyDescent="0.25">
      <c r="A408" t="str">
        <f>Raw_Inventory!A408</f>
        <v>P1407</v>
      </c>
      <c r="B408" t="str">
        <f>Raw_Inventory!B408</f>
        <v>Monitor</v>
      </c>
      <c r="C408" t="str">
        <f>Raw_Inventory!D408</f>
        <v>HP</v>
      </c>
      <c r="D408">
        <f>Raw_Inventory!E408</f>
        <v>70</v>
      </c>
      <c r="E408">
        <f>Raw_Inventory!F408</f>
        <v>123</v>
      </c>
      <c r="F408">
        <f>Raw_Inventory!G408</f>
        <v>12000</v>
      </c>
      <c r="G408">
        <f t="shared" si="18"/>
        <v>-53</v>
      </c>
      <c r="H408">
        <f t="shared" si="19"/>
        <v>-636000</v>
      </c>
      <c r="I408" t="str">
        <f t="shared" si="20"/>
        <v>Low Stock</v>
      </c>
    </row>
    <row r="409" spans="1:9" x14ac:dyDescent="0.25">
      <c r="A409" t="str">
        <f>Raw_Inventory!A409</f>
        <v>P1408</v>
      </c>
      <c r="B409" t="str">
        <f>Raw_Inventory!B409</f>
        <v>Webcam</v>
      </c>
      <c r="C409" t="str">
        <f>Raw_Inventory!D409</f>
        <v>Logitech</v>
      </c>
      <c r="D409">
        <f>Raw_Inventory!E409</f>
        <v>139</v>
      </c>
      <c r="E409">
        <f>Raw_Inventory!F409</f>
        <v>45</v>
      </c>
      <c r="F409">
        <f>Raw_Inventory!G409</f>
        <v>500</v>
      </c>
      <c r="G409">
        <f t="shared" si="18"/>
        <v>94</v>
      </c>
      <c r="H409">
        <f t="shared" si="19"/>
        <v>47000</v>
      </c>
      <c r="I409" t="str">
        <f t="shared" si="20"/>
        <v>OK</v>
      </c>
    </row>
    <row r="410" spans="1:9" x14ac:dyDescent="0.25">
      <c r="A410" t="str">
        <f>Raw_Inventory!A410</f>
        <v>P1409</v>
      </c>
      <c r="B410" t="str">
        <f>Raw_Inventory!B410</f>
        <v>Tablet</v>
      </c>
      <c r="C410" t="str">
        <f>Raw_Inventory!D410</f>
        <v>Logitech</v>
      </c>
      <c r="D410">
        <f>Raw_Inventory!E410</f>
        <v>57</v>
      </c>
      <c r="E410">
        <f>Raw_Inventory!F410</f>
        <v>75</v>
      </c>
      <c r="F410">
        <f>Raw_Inventory!G410</f>
        <v>5000</v>
      </c>
      <c r="G410">
        <f t="shared" si="18"/>
        <v>-18</v>
      </c>
      <c r="H410">
        <f t="shared" si="19"/>
        <v>-90000</v>
      </c>
      <c r="I410" t="str">
        <f t="shared" si="20"/>
        <v>Low Stock</v>
      </c>
    </row>
    <row r="411" spans="1:9" x14ac:dyDescent="0.25">
      <c r="A411" t="str">
        <f>Raw_Inventory!A411</f>
        <v>P1410</v>
      </c>
      <c r="B411" t="str">
        <f>Raw_Inventory!B411</f>
        <v>Webcam</v>
      </c>
      <c r="C411" t="str">
        <f>Raw_Inventory!D411</f>
        <v>Acer</v>
      </c>
      <c r="D411">
        <f>Raw_Inventory!E411</f>
        <v>167</v>
      </c>
      <c r="E411">
        <f>Raw_Inventory!F411</f>
        <v>65</v>
      </c>
      <c r="F411">
        <f>Raw_Inventory!G411</f>
        <v>5000</v>
      </c>
      <c r="G411">
        <f t="shared" si="18"/>
        <v>102</v>
      </c>
      <c r="H411">
        <f t="shared" si="19"/>
        <v>510000</v>
      </c>
      <c r="I411" t="str">
        <f t="shared" si="20"/>
        <v>OK</v>
      </c>
    </row>
    <row r="412" spans="1:9" x14ac:dyDescent="0.25">
      <c r="A412" t="str">
        <f>Raw_Inventory!A412</f>
        <v>P1411</v>
      </c>
      <c r="B412" t="str">
        <f>Raw_Inventory!B412</f>
        <v>Laptop</v>
      </c>
      <c r="C412" t="str">
        <f>Raw_Inventory!D412</f>
        <v>Logitech</v>
      </c>
      <c r="D412">
        <f>Raw_Inventory!E412</f>
        <v>67</v>
      </c>
      <c r="E412">
        <f>Raw_Inventory!F412</f>
        <v>84</v>
      </c>
      <c r="F412">
        <f>Raw_Inventory!G412</f>
        <v>500</v>
      </c>
      <c r="G412">
        <f t="shared" si="18"/>
        <v>-17</v>
      </c>
      <c r="H412">
        <f t="shared" si="19"/>
        <v>-8500</v>
      </c>
      <c r="I412" t="str">
        <f t="shared" si="20"/>
        <v>Low Stock</v>
      </c>
    </row>
    <row r="413" spans="1:9" x14ac:dyDescent="0.25">
      <c r="A413" t="str">
        <f>Raw_Inventory!A413</f>
        <v>P1412</v>
      </c>
      <c r="B413" t="str">
        <f>Raw_Inventory!B413</f>
        <v>Router</v>
      </c>
      <c r="C413" t="str">
        <f>Raw_Inventory!D413</f>
        <v>HP</v>
      </c>
      <c r="D413">
        <f>Raw_Inventory!E413</f>
        <v>146</v>
      </c>
      <c r="E413">
        <f>Raw_Inventory!F413</f>
        <v>22</v>
      </c>
      <c r="F413">
        <f>Raw_Inventory!G413</f>
        <v>55000</v>
      </c>
      <c r="G413">
        <f t="shared" si="18"/>
        <v>124</v>
      </c>
      <c r="H413">
        <f t="shared" si="19"/>
        <v>6820000</v>
      </c>
      <c r="I413" t="str">
        <f t="shared" si="20"/>
        <v>OK</v>
      </c>
    </row>
    <row r="414" spans="1:9" x14ac:dyDescent="0.25">
      <c r="A414" t="str">
        <f>Raw_Inventory!A414</f>
        <v>P1413</v>
      </c>
      <c r="B414" t="str">
        <f>Raw_Inventory!B414</f>
        <v>Laptop</v>
      </c>
      <c r="C414" t="str">
        <f>Raw_Inventory!D414</f>
        <v>Logitech</v>
      </c>
      <c r="D414">
        <f>Raw_Inventory!E414</f>
        <v>71</v>
      </c>
      <c r="E414">
        <f>Raw_Inventory!F414</f>
        <v>27</v>
      </c>
      <c r="F414">
        <f>Raw_Inventory!G414</f>
        <v>5000</v>
      </c>
      <c r="G414">
        <f t="shared" si="18"/>
        <v>44</v>
      </c>
      <c r="H414">
        <f t="shared" si="19"/>
        <v>220000</v>
      </c>
      <c r="I414" t="str">
        <f t="shared" si="20"/>
        <v>OK</v>
      </c>
    </row>
    <row r="415" spans="1:9" x14ac:dyDescent="0.25">
      <c r="A415" t="str">
        <f>Raw_Inventory!A415</f>
        <v>P1414</v>
      </c>
      <c r="B415" t="str">
        <f>Raw_Inventory!B415</f>
        <v>Tablet</v>
      </c>
      <c r="C415" t="str">
        <f>Raw_Inventory!D415</f>
        <v>Lenovo</v>
      </c>
      <c r="D415">
        <f>Raw_Inventory!E415</f>
        <v>34</v>
      </c>
      <c r="E415">
        <f>Raw_Inventory!F415</f>
        <v>59</v>
      </c>
      <c r="F415">
        <f>Raw_Inventory!G415</f>
        <v>500</v>
      </c>
      <c r="G415">
        <f t="shared" si="18"/>
        <v>-25</v>
      </c>
      <c r="H415">
        <f t="shared" si="19"/>
        <v>-12500</v>
      </c>
      <c r="I415" t="str">
        <f t="shared" si="20"/>
        <v>Low Stock</v>
      </c>
    </row>
    <row r="416" spans="1:9" x14ac:dyDescent="0.25">
      <c r="A416" t="str">
        <f>Raw_Inventory!A416</f>
        <v>P1415</v>
      </c>
      <c r="B416" t="str">
        <f>Raw_Inventory!B416</f>
        <v>Laptop</v>
      </c>
      <c r="C416" t="str">
        <f>Raw_Inventory!D416</f>
        <v>Seagate</v>
      </c>
      <c r="D416">
        <f>Raw_Inventory!E416</f>
        <v>196</v>
      </c>
      <c r="E416">
        <f>Raw_Inventory!F416</f>
        <v>84</v>
      </c>
      <c r="F416">
        <f>Raw_Inventory!G416</f>
        <v>8000</v>
      </c>
      <c r="G416">
        <f t="shared" si="18"/>
        <v>112</v>
      </c>
      <c r="H416">
        <f t="shared" si="19"/>
        <v>896000</v>
      </c>
      <c r="I416" t="str">
        <f t="shared" si="20"/>
        <v>OK</v>
      </c>
    </row>
    <row r="417" spans="1:9" x14ac:dyDescent="0.25">
      <c r="A417" t="str">
        <f>Raw_Inventory!A417</f>
        <v>P1416</v>
      </c>
      <c r="B417" t="str">
        <f>Raw_Inventory!B417</f>
        <v>Router</v>
      </c>
      <c r="C417" t="str">
        <f>Raw_Inventory!D417</f>
        <v>Logitech</v>
      </c>
      <c r="D417">
        <f>Raw_Inventory!E417</f>
        <v>27</v>
      </c>
      <c r="E417">
        <f>Raw_Inventory!F417</f>
        <v>40</v>
      </c>
      <c r="F417">
        <f>Raw_Inventory!G417</f>
        <v>2500</v>
      </c>
      <c r="G417">
        <f t="shared" si="18"/>
        <v>-13</v>
      </c>
      <c r="H417">
        <f t="shared" si="19"/>
        <v>-32500</v>
      </c>
      <c r="I417" t="str">
        <f t="shared" si="20"/>
        <v>Low Stock</v>
      </c>
    </row>
    <row r="418" spans="1:9" x14ac:dyDescent="0.25">
      <c r="A418" t="str">
        <f>Raw_Inventory!A418</f>
        <v>P1417</v>
      </c>
      <c r="B418" t="str">
        <f>Raw_Inventory!B418</f>
        <v>Laptop</v>
      </c>
      <c r="C418" t="str">
        <f>Raw_Inventory!D418</f>
        <v>HP</v>
      </c>
      <c r="D418">
        <f>Raw_Inventory!E418</f>
        <v>69</v>
      </c>
      <c r="E418">
        <f>Raw_Inventory!F418</f>
        <v>31</v>
      </c>
      <c r="F418">
        <f>Raw_Inventory!G418</f>
        <v>8000</v>
      </c>
      <c r="G418">
        <f t="shared" si="18"/>
        <v>38</v>
      </c>
      <c r="H418">
        <f t="shared" si="19"/>
        <v>304000</v>
      </c>
      <c r="I418" t="str">
        <f t="shared" si="20"/>
        <v>OK</v>
      </c>
    </row>
    <row r="419" spans="1:9" x14ac:dyDescent="0.25">
      <c r="A419" t="str">
        <f>Raw_Inventory!A419</f>
        <v>P1418</v>
      </c>
      <c r="B419" t="str">
        <f>Raw_Inventory!B419</f>
        <v>Printer</v>
      </c>
      <c r="C419" t="str">
        <f>Raw_Inventory!D419</f>
        <v>Samsung</v>
      </c>
      <c r="D419">
        <f>Raw_Inventory!E419</f>
        <v>125</v>
      </c>
      <c r="E419">
        <f>Raw_Inventory!F419</f>
        <v>138</v>
      </c>
      <c r="F419">
        <f>Raw_Inventory!G419</f>
        <v>500</v>
      </c>
      <c r="G419">
        <f t="shared" si="18"/>
        <v>-13</v>
      </c>
      <c r="H419">
        <f t="shared" si="19"/>
        <v>-6500</v>
      </c>
      <c r="I419" t="str">
        <f t="shared" si="20"/>
        <v>Low Stock</v>
      </c>
    </row>
    <row r="420" spans="1:9" x14ac:dyDescent="0.25">
      <c r="A420" t="str">
        <f>Raw_Inventory!A420</f>
        <v>P1419</v>
      </c>
      <c r="B420" t="str">
        <f>Raw_Inventory!B420</f>
        <v>Keyboard</v>
      </c>
      <c r="C420" t="str">
        <f>Raw_Inventory!D420</f>
        <v>Canon</v>
      </c>
      <c r="D420">
        <f>Raw_Inventory!E420</f>
        <v>170</v>
      </c>
      <c r="E420">
        <f>Raw_Inventory!F420</f>
        <v>12</v>
      </c>
      <c r="F420">
        <f>Raw_Inventory!G420</f>
        <v>8000</v>
      </c>
      <c r="G420">
        <f t="shared" si="18"/>
        <v>158</v>
      </c>
      <c r="H420">
        <f t="shared" si="19"/>
        <v>1264000</v>
      </c>
      <c r="I420" t="str">
        <f t="shared" si="20"/>
        <v>OK</v>
      </c>
    </row>
    <row r="421" spans="1:9" x14ac:dyDescent="0.25">
      <c r="A421" t="str">
        <f>Raw_Inventory!A421</f>
        <v>P1420</v>
      </c>
      <c r="B421" t="str">
        <f>Raw_Inventory!B421</f>
        <v>Headphones</v>
      </c>
      <c r="C421" t="str">
        <f>Raw_Inventory!D421</f>
        <v>TP-Link</v>
      </c>
      <c r="D421">
        <f>Raw_Inventory!E421</f>
        <v>102</v>
      </c>
      <c r="E421">
        <f>Raw_Inventory!F421</f>
        <v>128</v>
      </c>
      <c r="F421">
        <f>Raw_Inventory!G421</f>
        <v>800</v>
      </c>
      <c r="G421">
        <f t="shared" si="18"/>
        <v>-26</v>
      </c>
      <c r="H421">
        <f t="shared" si="19"/>
        <v>-20800</v>
      </c>
      <c r="I421" t="str">
        <f t="shared" si="20"/>
        <v>Low Stock</v>
      </c>
    </row>
    <row r="422" spans="1:9" x14ac:dyDescent="0.25">
      <c r="A422" t="str">
        <f>Raw_Inventory!A422</f>
        <v>P1421</v>
      </c>
      <c r="B422" t="str">
        <f>Raw_Inventory!B422</f>
        <v>Keyboard</v>
      </c>
      <c r="C422" t="str">
        <f>Raw_Inventory!D422</f>
        <v>Samsung</v>
      </c>
      <c r="D422">
        <f>Raw_Inventory!E422</f>
        <v>160</v>
      </c>
      <c r="E422">
        <f>Raw_Inventory!F422</f>
        <v>25</v>
      </c>
      <c r="F422">
        <f>Raw_Inventory!G422</f>
        <v>55000</v>
      </c>
      <c r="G422">
        <f t="shared" si="18"/>
        <v>135</v>
      </c>
      <c r="H422">
        <f t="shared" si="19"/>
        <v>7425000</v>
      </c>
      <c r="I422" t="str">
        <f t="shared" si="20"/>
        <v>OK</v>
      </c>
    </row>
    <row r="423" spans="1:9" x14ac:dyDescent="0.25">
      <c r="A423" t="str">
        <f>Raw_Inventory!A423</f>
        <v>P1422</v>
      </c>
      <c r="B423" t="str">
        <f>Raw_Inventory!B423</f>
        <v>Monitor</v>
      </c>
      <c r="C423" t="str">
        <f>Raw_Inventory!D423</f>
        <v>Lenovo</v>
      </c>
      <c r="D423">
        <f>Raw_Inventory!E423</f>
        <v>166</v>
      </c>
      <c r="E423">
        <f>Raw_Inventory!F423</f>
        <v>103</v>
      </c>
      <c r="F423">
        <f>Raw_Inventory!G423</f>
        <v>500</v>
      </c>
      <c r="G423">
        <f t="shared" si="18"/>
        <v>63</v>
      </c>
      <c r="H423">
        <f t="shared" si="19"/>
        <v>31500</v>
      </c>
      <c r="I423" t="str">
        <f t="shared" si="20"/>
        <v>OK</v>
      </c>
    </row>
    <row r="424" spans="1:9" x14ac:dyDescent="0.25">
      <c r="A424" t="str">
        <f>Raw_Inventory!A424</f>
        <v>P1423</v>
      </c>
      <c r="B424" t="str">
        <f>Raw_Inventory!B424</f>
        <v>SSD</v>
      </c>
      <c r="C424" t="str">
        <f>Raw_Inventory!D424</f>
        <v>Canon</v>
      </c>
      <c r="D424">
        <f>Raw_Inventory!E424</f>
        <v>157</v>
      </c>
      <c r="E424">
        <f>Raw_Inventory!F424</f>
        <v>28</v>
      </c>
      <c r="F424">
        <f>Raw_Inventory!G424</f>
        <v>1500</v>
      </c>
      <c r="G424">
        <f t="shared" si="18"/>
        <v>129</v>
      </c>
      <c r="H424">
        <f t="shared" si="19"/>
        <v>193500</v>
      </c>
      <c r="I424" t="str">
        <f t="shared" si="20"/>
        <v>OK</v>
      </c>
    </row>
    <row r="425" spans="1:9" x14ac:dyDescent="0.25">
      <c r="A425" t="str">
        <f>Raw_Inventory!A425</f>
        <v>P1424</v>
      </c>
      <c r="B425" t="str">
        <f>Raw_Inventory!B425</f>
        <v>Mouse</v>
      </c>
      <c r="C425" t="str">
        <f>Raw_Inventory!D425</f>
        <v>TP-Link</v>
      </c>
      <c r="D425">
        <f>Raw_Inventory!E425</f>
        <v>187</v>
      </c>
      <c r="E425">
        <f>Raw_Inventory!F425</f>
        <v>70</v>
      </c>
      <c r="F425">
        <f>Raw_Inventory!G425</f>
        <v>800</v>
      </c>
      <c r="G425">
        <f t="shared" si="18"/>
        <v>117</v>
      </c>
      <c r="H425">
        <f t="shared" si="19"/>
        <v>93600</v>
      </c>
      <c r="I425" t="str">
        <f t="shared" si="20"/>
        <v>OK</v>
      </c>
    </row>
    <row r="426" spans="1:9" x14ac:dyDescent="0.25">
      <c r="A426" t="str">
        <f>Raw_Inventory!A426</f>
        <v>P1425</v>
      </c>
      <c r="B426" t="str">
        <f>Raw_Inventory!B426</f>
        <v>Printer</v>
      </c>
      <c r="C426" t="str">
        <f>Raw_Inventory!D426</f>
        <v>Canon</v>
      </c>
      <c r="D426">
        <f>Raw_Inventory!E426</f>
        <v>175</v>
      </c>
      <c r="E426">
        <f>Raw_Inventory!F426</f>
        <v>106</v>
      </c>
      <c r="F426">
        <f>Raw_Inventory!G426</f>
        <v>5000</v>
      </c>
      <c r="G426">
        <f t="shared" si="18"/>
        <v>69</v>
      </c>
      <c r="H426">
        <f t="shared" si="19"/>
        <v>345000</v>
      </c>
      <c r="I426" t="str">
        <f t="shared" si="20"/>
        <v>OK</v>
      </c>
    </row>
    <row r="427" spans="1:9" x14ac:dyDescent="0.25">
      <c r="A427" t="str">
        <f>Raw_Inventory!A427</f>
        <v>P1426</v>
      </c>
      <c r="B427" t="str">
        <f>Raw_Inventory!B427</f>
        <v>Tablet</v>
      </c>
      <c r="C427" t="str">
        <f>Raw_Inventory!D427</f>
        <v>TP-Link</v>
      </c>
      <c r="D427">
        <f>Raw_Inventory!E427</f>
        <v>55</v>
      </c>
      <c r="E427">
        <f>Raw_Inventory!F427</f>
        <v>68</v>
      </c>
      <c r="F427">
        <f>Raw_Inventory!G427</f>
        <v>800</v>
      </c>
      <c r="G427">
        <f t="shared" si="18"/>
        <v>-13</v>
      </c>
      <c r="H427">
        <f t="shared" si="19"/>
        <v>-10400</v>
      </c>
      <c r="I427" t="str">
        <f t="shared" si="20"/>
        <v>Low Stock</v>
      </c>
    </row>
    <row r="428" spans="1:9" x14ac:dyDescent="0.25">
      <c r="A428" t="str">
        <f>Raw_Inventory!A428</f>
        <v>P1427</v>
      </c>
      <c r="B428" t="str">
        <f>Raw_Inventory!B428</f>
        <v>Laptop</v>
      </c>
      <c r="C428" t="str">
        <f>Raw_Inventory!D428</f>
        <v>Acer</v>
      </c>
      <c r="D428">
        <f>Raw_Inventory!E428</f>
        <v>106</v>
      </c>
      <c r="E428">
        <f>Raw_Inventory!F428</f>
        <v>23</v>
      </c>
      <c r="F428">
        <f>Raw_Inventory!G428</f>
        <v>5000</v>
      </c>
      <c r="G428">
        <f t="shared" si="18"/>
        <v>83</v>
      </c>
      <c r="H428">
        <f t="shared" si="19"/>
        <v>415000</v>
      </c>
      <c r="I428" t="str">
        <f t="shared" si="20"/>
        <v>OK</v>
      </c>
    </row>
    <row r="429" spans="1:9" x14ac:dyDescent="0.25">
      <c r="A429" t="str">
        <f>Raw_Inventory!A429</f>
        <v>P1428</v>
      </c>
      <c r="B429" t="str">
        <f>Raw_Inventory!B429</f>
        <v>Webcam</v>
      </c>
      <c r="C429" t="str">
        <f>Raw_Inventory!D429</f>
        <v>Samsung</v>
      </c>
      <c r="D429">
        <f>Raw_Inventory!E429</f>
        <v>26</v>
      </c>
      <c r="E429">
        <f>Raw_Inventory!F429</f>
        <v>82</v>
      </c>
      <c r="F429">
        <f>Raw_Inventory!G429</f>
        <v>12000</v>
      </c>
      <c r="G429">
        <f t="shared" si="18"/>
        <v>-56</v>
      </c>
      <c r="H429">
        <f t="shared" si="19"/>
        <v>-672000</v>
      </c>
      <c r="I429" t="str">
        <f t="shared" si="20"/>
        <v>Low Stock</v>
      </c>
    </row>
    <row r="430" spans="1:9" x14ac:dyDescent="0.25">
      <c r="A430" t="str">
        <f>Raw_Inventory!A430</f>
        <v>P1429</v>
      </c>
      <c r="B430" t="str">
        <f>Raw_Inventory!B430</f>
        <v>Webcam</v>
      </c>
      <c r="C430" t="str">
        <f>Raw_Inventory!D430</f>
        <v>Lenovo</v>
      </c>
      <c r="D430">
        <f>Raw_Inventory!E430</f>
        <v>195</v>
      </c>
      <c r="E430">
        <f>Raw_Inventory!F430</f>
        <v>32</v>
      </c>
      <c r="F430">
        <f>Raw_Inventory!G430</f>
        <v>8000</v>
      </c>
      <c r="G430">
        <f t="shared" si="18"/>
        <v>163</v>
      </c>
      <c r="H430">
        <f t="shared" si="19"/>
        <v>1304000</v>
      </c>
      <c r="I430" t="str">
        <f t="shared" si="20"/>
        <v>OK</v>
      </c>
    </row>
    <row r="431" spans="1:9" x14ac:dyDescent="0.25">
      <c r="A431" t="str">
        <f>Raw_Inventory!A431</f>
        <v>P1430</v>
      </c>
      <c r="B431" t="str">
        <f>Raw_Inventory!B431</f>
        <v>Printer</v>
      </c>
      <c r="C431" t="str">
        <f>Raw_Inventory!D431</f>
        <v>Lenovo</v>
      </c>
      <c r="D431">
        <f>Raw_Inventory!E431</f>
        <v>190</v>
      </c>
      <c r="E431">
        <f>Raw_Inventory!F431</f>
        <v>117</v>
      </c>
      <c r="F431">
        <f>Raw_Inventory!G431</f>
        <v>12000</v>
      </c>
      <c r="G431">
        <f t="shared" si="18"/>
        <v>73</v>
      </c>
      <c r="H431">
        <f t="shared" si="19"/>
        <v>876000</v>
      </c>
      <c r="I431" t="str">
        <f t="shared" si="20"/>
        <v>OK</v>
      </c>
    </row>
    <row r="432" spans="1:9" x14ac:dyDescent="0.25">
      <c r="A432" t="str">
        <f>Raw_Inventory!A432</f>
        <v>P1431</v>
      </c>
      <c r="B432" t="str">
        <f>Raw_Inventory!B432</f>
        <v>Webcam</v>
      </c>
      <c r="C432" t="str">
        <f>Raw_Inventory!D432</f>
        <v>Acer</v>
      </c>
      <c r="D432">
        <f>Raw_Inventory!E432</f>
        <v>67</v>
      </c>
      <c r="E432">
        <f>Raw_Inventory!F432</f>
        <v>36</v>
      </c>
      <c r="F432">
        <f>Raw_Inventory!G432</f>
        <v>30000</v>
      </c>
      <c r="G432">
        <f t="shared" si="18"/>
        <v>31</v>
      </c>
      <c r="H432">
        <f t="shared" si="19"/>
        <v>930000</v>
      </c>
      <c r="I432" t="str">
        <f t="shared" si="20"/>
        <v>OK</v>
      </c>
    </row>
    <row r="433" spans="1:9" x14ac:dyDescent="0.25">
      <c r="A433" t="str">
        <f>Raw_Inventory!A433</f>
        <v>P1432</v>
      </c>
      <c r="B433" t="str">
        <f>Raw_Inventory!B433</f>
        <v>Monitor</v>
      </c>
      <c r="C433" t="str">
        <f>Raw_Inventory!D433</f>
        <v>HP</v>
      </c>
      <c r="D433">
        <f>Raw_Inventory!E433</f>
        <v>193</v>
      </c>
      <c r="E433">
        <f>Raw_Inventory!F433</f>
        <v>38</v>
      </c>
      <c r="F433">
        <f>Raw_Inventory!G433</f>
        <v>8000</v>
      </c>
      <c r="G433">
        <f t="shared" si="18"/>
        <v>155</v>
      </c>
      <c r="H433">
        <f t="shared" si="19"/>
        <v>1240000</v>
      </c>
      <c r="I433" t="str">
        <f t="shared" si="20"/>
        <v>OK</v>
      </c>
    </row>
    <row r="434" spans="1:9" x14ac:dyDescent="0.25">
      <c r="A434" t="str">
        <f>Raw_Inventory!A434</f>
        <v>P1433</v>
      </c>
      <c r="B434" t="str">
        <f>Raw_Inventory!B434</f>
        <v>SSD</v>
      </c>
      <c r="C434" t="str">
        <f>Raw_Inventory!D434</f>
        <v>Logitech</v>
      </c>
      <c r="D434">
        <f>Raw_Inventory!E434</f>
        <v>195</v>
      </c>
      <c r="E434">
        <f>Raw_Inventory!F434</f>
        <v>111</v>
      </c>
      <c r="F434">
        <f>Raw_Inventory!G434</f>
        <v>2500</v>
      </c>
      <c r="G434">
        <f t="shared" si="18"/>
        <v>84</v>
      </c>
      <c r="H434">
        <f t="shared" si="19"/>
        <v>210000</v>
      </c>
      <c r="I434" t="str">
        <f t="shared" si="20"/>
        <v>OK</v>
      </c>
    </row>
    <row r="435" spans="1:9" x14ac:dyDescent="0.25">
      <c r="A435" t="str">
        <f>Raw_Inventory!A435</f>
        <v>P1434</v>
      </c>
      <c r="B435" t="str">
        <f>Raw_Inventory!B435</f>
        <v>Printer</v>
      </c>
      <c r="C435" t="str">
        <f>Raw_Inventory!D435</f>
        <v>Lenovo</v>
      </c>
      <c r="D435">
        <f>Raw_Inventory!E435</f>
        <v>141</v>
      </c>
      <c r="E435">
        <f>Raw_Inventory!F435</f>
        <v>100</v>
      </c>
      <c r="F435">
        <f>Raw_Inventory!G435</f>
        <v>55000</v>
      </c>
      <c r="G435">
        <f t="shared" si="18"/>
        <v>41</v>
      </c>
      <c r="H435">
        <f t="shared" si="19"/>
        <v>2255000</v>
      </c>
      <c r="I435" t="str">
        <f t="shared" si="20"/>
        <v>OK</v>
      </c>
    </row>
    <row r="436" spans="1:9" x14ac:dyDescent="0.25">
      <c r="A436" t="str">
        <f>Raw_Inventory!A436</f>
        <v>P1435</v>
      </c>
      <c r="B436" t="str">
        <f>Raw_Inventory!B436</f>
        <v>Router</v>
      </c>
      <c r="C436" t="str">
        <f>Raw_Inventory!D436</f>
        <v>TP-Link</v>
      </c>
      <c r="D436">
        <f>Raw_Inventory!E436</f>
        <v>161</v>
      </c>
      <c r="E436">
        <f>Raw_Inventory!F436</f>
        <v>114</v>
      </c>
      <c r="F436">
        <f>Raw_Inventory!G436</f>
        <v>800</v>
      </c>
      <c r="G436">
        <f t="shared" si="18"/>
        <v>47</v>
      </c>
      <c r="H436">
        <f t="shared" si="19"/>
        <v>37600</v>
      </c>
      <c r="I436" t="str">
        <f t="shared" si="20"/>
        <v>OK</v>
      </c>
    </row>
    <row r="437" spans="1:9" x14ac:dyDescent="0.25">
      <c r="A437" t="str">
        <f>Raw_Inventory!A437</f>
        <v>P1436</v>
      </c>
      <c r="B437" t="str">
        <f>Raw_Inventory!B437</f>
        <v>Printer</v>
      </c>
      <c r="C437" t="str">
        <f>Raw_Inventory!D437</f>
        <v>Asus</v>
      </c>
      <c r="D437">
        <f>Raw_Inventory!E437</f>
        <v>43</v>
      </c>
      <c r="E437">
        <f>Raw_Inventory!F437</f>
        <v>132</v>
      </c>
      <c r="F437">
        <f>Raw_Inventory!G437</f>
        <v>800</v>
      </c>
      <c r="G437">
        <f t="shared" si="18"/>
        <v>-89</v>
      </c>
      <c r="H437">
        <f t="shared" si="19"/>
        <v>-71200</v>
      </c>
      <c r="I437" t="str">
        <f t="shared" si="20"/>
        <v>Low Stock</v>
      </c>
    </row>
    <row r="438" spans="1:9" x14ac:dyDescent="0.25">
      <c r="A438" t="str">
        <f>Raw_Inventory!A438</f>
        <v>P1437</v>
      </c>
      <c r="B438" t="str">
        <f>Raw_Inventory!B438</f>
        <v>SSD</v>
      </c>
      <c r="C438" t="str">
        <f>Raw_Inventory!D438</f>
        <v>Dell</v>
      </c>
      <c r="D438">
        <f>Raw_Inventory!E438</f>
        <v>82</v>
      </c>
      <c r="E438">
        <f>Raw_Inventory!F438</f>
        <v>67</v>
      </c>
      <c r="F438">
        <f>Raw_Inventory!G438</f>
        <v>2500</v>
      </c>
      <c r="G438">
        <f t="shared" si="18"/>
        <v>15</v>
      </c>
      <c r="H438">
        <f t="shared" si="19"/>
        <v>37500</v>
      </c>
      <c r="I438" t="str">
        <f t="shared" si="20"/>
        <v>OK</v>
      </c>
    </row>
    <row r="439" spans="1:9" x14ac:dyDescent="0.25">
      <c r="A439" t="str">
        <f>Raw_Inventory!A439</f>
        <v>P1438</v>
      </c>
      <c r="B439" t="str">
        <f>Raw_Inventory!B439</f>
        <v>SSD</v>
      </c>
      <c r="C439" t="str">
        <f>Raw_Inventory!D439</f>
        <v>Samsung</v>
      </c>
      <c r="D439">
        <f>Raw_Inventory!E439</f>
        <v>25</v>
      </c>
      <c r="E439">
        <f>Raw_Inventory!F439</f>
        <v>4</v>
      </c>
      <c r="F439">
        <f>Raw_Inventory!G439</f>
        <v>2500</v>
      </c>
      <c r="G439">
        <f t="shared" si="18"/>
        <v>21</v>
      </c>
      <c r="H439">
        <f t="shared" si="19"/>
        <v>52500</v>
      </c>
      <c r="I439" t="str">
        <f t="shared" si="20"/>
        <v>OK</v>
      </c>
    </row>
    <row r="440" spans="1:9" x14ac:dyDescent="0.25">
      <c r="A440" t="str">
        <f>Raw_Inventory!A440</f>
        <v>P1439</v>
      </c>
      <c r="B440" t="str">
        <f>Raw_Inventory!B440</f>
        <v>Mouse</v>
      </c>
      <c r="C440" t="str">
        <f>Raw_Inventory!D440</f>
        <v>Samsung</v>
      </c>
      <c r="D440">
        <f>Raw_Inventory!E440</f>
        <v>27</v>
      </c>
      <c r="E440">
        <f>Raw_Inventory!F440</f>
        <v>108</v>
      </c>
      <c r="F440">
        <f>Raw_Inventory!G440</f>
        <v>30000</v>
      </c>
      <c r="G440">
        <f t="shared" si="18"/>
        <v>-81</v>
      </c>
      <c r="H440">
        <f t="shared" si="19"/>
        <v>-2430000</v>
      </c>
      <c r="I440" t="str">
        <f t="shared" si="20"/>
        <v>Low Stock</v>
      </c>
    </row>
    <row r="441" spans="1:9" x14ac:dyDescent="0.25">
      <c r="A441" t="str">
        <f>Raw_Inventory!A441</f>
        <v>P1440</v>
      </c>
      <c r="B441" t="str">
        <f>Raw_Inventory!B441</f>
        <v>Router</v>
      </c>
      <c r="C441" t="str">
        <f>Raw_Inventory!D441</f>
        <v>Logitech</v>
      </c>
      <c r="D441">
        <f>Raw_Inventory!E441</f>
        <v>166</v>
      </c>
      <c r="E441">
        <f>Raw_Inventory!F441</f>
        <v>15</v>
      </c>
      <c r="F441">
        <f>Raw_Inventory!G441</f>
        <v>2500</v>
      </c>
      <c r="G441">
        <f t="shared" si="18"/>
        <v>151</v>
      </c>
      <c r="H441">
        <f t="shared" si="19"/>
        <v>377500</v>
      </c>
      <c r="I441" t="str">
        <f t="shared" si="20"/>
        <v>OK</v>
      </c>
    </row>
    <row r="442" spans="1:9" x14ac:dyDescent="0.25">
      <c r="A442" t="str">
        <f>Raw_Inventory!A442</f>
        <v>P1441</v>
      </c>
      <c r="B442" t="str">
        <f>Raw_Inventory!B442</f>
        <v>Monitor</v>
      </c>
      <c r="C442" t="str">
        <f>Raw_Inventory!D442</f>
        <v>Lenovo</v>
      </c>
      <c r="D442">
        <f>Raw_Inventory!E442</f>
        <v>150</v>
      </c>
      <c r="E442">
        <f>Raw_Inventory!F442</f>
        <v>40</v>
      </c>
      <c r="F442">
        <f>Raw_Inventory!G442</f>
        <v>500</v>
      </c>
      <c r="G442">
        <f t="shared" si="18"/>
        <v>110</v>
      </c>
      <c r="H442">
        <f t="shared" si="19"/>
        <v>55000</v>
      </c>
      <c r="I442" t="str">
        <f t="shared" si="20"/>
        <v>OK</v>
      </c>
    </row>
    <row r="443" spans="1:9" x14ac:dyDescent="0.25">
      <c r="A443" t="str">
        <f>Raw_Inventory!A443</f>
        <v>P1442</v>
      </c>
      <c r="B443" t="str">
        <f>Raw_Inventory!B443</f>
        <v>SSD</v>
      </c>
      <c r="C443" t="str">
        <f>Raw_Inventory!D443</f>
        <v>Asus</v>
      </c>
      <c r="D443">
        <f>Raw_Inventory!E443</f>
        <v>48</v>
      </c>
      <c r="E443">
        <f>Raw_Inventory!F443</f>
        <v>121</v>
      </c>
      <c r="F443">
        <f>Raw_Inventory!G443</f>
        <v>55000</v>
      </c>
      <c r="G443">
        <f t="shared" si="18"/>
        <v>-73</v>
      </c>
      <c r="H443">
        <f t="shared" si="19"/>
        <v>-4015000</v>
      </c>
      <c r="I443" t="str">
        <f t="shared" si="20"/>
        <v>Low Stock</v>
      </c>
    </row>
    <row r="444" spans="1:9" x14ac:dyDescent="0.25">
      <c r="A444" t="str">
        <f>Raw_Inventory!A444</f>
        <v>P1443</v>
      </c>
      <c r="B444" t="str">
        <f>Raw_Inventory!B444</f>
        <v>Tablet</v>
      </c>
      <c r="C444" t="str">
        <f>Raw_Inventory!D444</f>
        <v>Asus</v>
      </c>
      <c r="D444">
        <f>Raw_Inventory!E444</f>
        <v>43</v>
      </c>
      <c r="E444">
        <f>Raw_Inventory!F444</f>
        <v>56</v>
      </c>
      <c r="F444">
        <f>Raw_Inventory!G444</f>
        <v>55000</v>
      </c>
      <c r="G444">
        <f t="shared" si="18"/>
        <v>-13</v>
      </c>
      <c r="H444">
        <f t="shared" si="19"/>
        <v>-715000</v>
      </c>
      <c r="I444" t="str">
        <f t="shared" si="20"/>
        <v>Low Stock</v>
      </c>
    </row>
    <row r="445" spans="1:9" x14ac:dyDescent="0.25">
      <c r="A445" t="str">
        <f>Raw_Inventory!A445</f>
        <v>P1444</v>
      </c>
      <c r="B445" t="str">
        <f>Raw_Inventory!B445</f>
        <v>Router</v>
      </c>
      <c r="C445" t="str">
        <f>Raw_Inventory!D445</f>
        <v>Dell</v>
      </c>
      <c r="D445">
        <f>Raw_Inventory!E445</f>
        <v>115</v>
      </c>
      <c r="E445">
        <f>Raw_Inventory!F445</f>
        <v>41</v>
      </c>
      <c r="F445">
        <f>Raw_Inventory!G445</f>
        <v>2500</v>
      </c>
      <c r="G445">
        <f t="shared" si="18"/>
        <v>74</v>
      </c>
      <c r="H445">
        <f t="shared" si="19"/>
        <v>185000</v>
      </c>
      <c r="I445" t="str">
        <f t="shared" si="20"/>
        <v>OK</v>
      </c>
    </row>
    <row r="446" spans="1:9" x14ac:dyDescent="0.25">
      <c r="A446" t="str">
        <f>Raw_Inventory!A446</f>
        <v>P1445</v>
      </c>
      <c r="B446" t="str">
        <f>Raw_Inventory!B446</f>
        <v>Tablet</v>
      </c>
      <c r="C446" t="str">
        <f>Raw_Inventory!D446</f>
        <v>TP-Link</v>
      </c>
      <c r="D446">
        <f>Raw_Inventory!E446</f>
        <v>149</v>
      </c>
      <c r="E446">
        <f>Raw_Inventory!F446</f>
        <v>133</v>
      </c>
      <c r="F446">
        <f>Raw_Inventory!G446</f>
        <v>1500</v>
      </c>
      <c r="G446">
        <f t="shared" si="18"/>
        <v>16</v>
      </c>
      <c r="H446">
        <f t="shared" si="19"/>
        <v>24000</v>
      </c>
      <c r="I446" t="str">
        <f t="shared" si="20"/>
        <v>OK</v>
      </c>
    </row>
    <row r="447" spans="1:9" x14ac:dyDescent="0.25">
      <c r="A447" t="str">
        <f>Raw_Inventory!A447</f>
        <v>P1446</v>
      </c>
      <c r="B447" t="str">
        <f>Raw_Inventory!B447</f>
        <v>Tablet</v>
      </c>
      <c r="C447" t="str">
        <f>Raw_Inventory!D447</f>
        <v>Acer</v>
      </c>
      <c r="D447">
        <f>Raw_Inventory!E447</f>
        <v>77</v>
      </c>
      <c r="E447">
        <f>Raw_Inventory!F447</f>
        <v>12</v>
      </c>
      <c r="F447">
        <f>Raw_Inventory!G447</f>
        <v>800</v>
      </c>
      <c r="G447">
        <f t="shared" si="18"/>
        <v>65</v>
      </c>
      <c r="H447">
        <f t="shared" si="19"/>
        <v>52000</v>
      </c>
      <c r="I447" t="str">
        <f t="shared" si="20"/>
        <v>OK</v>
      </c>
    </row>
    <row r="448" spans="1:9" x14ac:dyDescent="0.25">
      <c r="A448" t="str">
        <f>Raw_Inventory!A448</f>
        <v>P1447</v>
      </c>
      <c r="B448" t="str">
        <f>Raw_Inventory!B448</f>
        <v>Mouse</v>
      </c>
      <c r="C448" t="str">
        <f>Raw_Inventory!D448</f>
        <v>Lenovo</v>
      </c>
      <c r="D448">
        <f>Raw_Inventory!E448</f>
        <v>192</v>
      </c>
      <c r="E448">
        <f>Raw_Inventory!F448</f>
        <v>32</v>
      </c>
      <c r="F448">
        <f>Raw_Inventory!G448</f>
        <v>1500</v>
      </c>
      <c r="G448">
        <f t="shared" si="18"/>
        <v>160</v>
      </c>
      <c r="H448">
        <f t="shared" si="19"/>
        <v>240000</v>
      </c>
      <c r="I448" t="str">
        <f t="shared" si="20"/>
        <v>OK</v>
      </c>
    </row>
    <row r="449" spans="1:9" x14ac:dyDescent="0.25">
      <c r="A449" t="str">
        <f>Raw_Inventory!A449</f>
        <v>P1448</v>
      </c>
      <c r="B449" t="str">
        <f>Raw_Inventory!B449</f>
        <v>SSD</v>
      </c>
      <c r="C449" t="str">
        <f>Raw_Inventory!D449</f>
        <v>HP</v>
      </c>
      <c r="D449">
        <f>Raw_Inventory!E449</f>
        <v>56</v>
      </c>
      <c r="E449">
        <f>Raw_Inventory!F449</f>
        <v>132</v>
      </c>
      <c r="F449">
        <f>Raw_Inventory!G449</f>
        <v>30000</v>
      </c>
      <c r="G449">
        <f t="shared" si="18"/>
        <v>-76</v>
      </c>
      <c r="H449">
        <f t="shared" si="19"/>
        <v>-2280000</v>
      </c>
      <c r="I449" t="str">
        <f t="shared" si="20"/>
        <v>Low Stock</v>
      </c>
    </row>
    <row r="450" spans="1:9" x14ac:dyDescent="0.25">
      <c r="A450" t="str">
        <f>Raw_Inventory!A450</f>
        <v>P1449</v>
      </c>
      <c r="B450" t="str">
        <f>Raw_Inventory!B450</f>
        <v>Mouse</v>
      </c>
      <c r="C450" t="str">
        <f>Raw_Inventory!D450</f>
        <v>Seagate</v>
      </c>
      <c r="D450">
        <f>Raw_Inventory!E450</f>
        <v>41</v>
      </c>
      <c r="E450">
        <f>Raw_Inventory!F450</f>
        <v>62</v>
      </c>
      <c r="F450">
        <f>Raw_Inventory!G450</f>
        <v>12000</v>
      </c>
      <c r="G450">
        <f t="shared" si="18"/>
        <v>-21</v>
      </c>
      <c r="H450">
        <f t="shared" si="19"/>
        <v>-252000</v>
      </c>
      <c r="I450" t="str">
        <f t="shared" si="20"/>
        <v>Low Stock</v>
      </c>
    </row>
    <row r="451" spans="1:9" x14ac:dyDescent="0.25">
      <c r="A451" t="str">
        <f>Raw_Inventory!A451</f>
        <v>P1450</v>
      </c>
      <c r="B451" t="str">
        <f>Raw_Inventory!B451</f>
        <v>Printer</v>
      </c>
      <c r="C451" t="str">
        <f>Raw_Inventory!D451</f>
        <v>Asus</v>
      </c>
      <c r="D451">
        <f>Raw_Inventory!E451</f>
        <v>150</v>
      </c>
      <c r="E451">
        <f>Raw_Inventory!F451</f>
        <v>13</v>
      </c>
      <c r="F451">
        <f>Raw_Inventory!G451</f>
        <v>8000</v>
      </c>
      <c r="G451">
        <f t="shared" ref="G451:G501" si="21" xml:space="preserve"> D451 - E451</f>
        <v>137</v>
      </c>
      <c r="H451">
        <f t="shared" ref="H451:H501" si="22" xml:space="preserve"> G451 * F451</f>
        <v>1096000</v>
      </c>
      <c r="I451" t="str">
        <f t="shared" ref="I451:I501" si="23">IF(G451&lt;10,"Low Stock","OK")</f>
        <v>OK</v>
      </c>
    </row>
    <row r="452" spans="1:9" x14ac:dyDescent="0.25">
      <c r="A452" t="str">
        <f>Raw_Inventory!A452</f>
        <v>P1451</v>
      </c>
      <c r="B452" t="str">
        <f>Raw_Inventory!B452</f>
        <v>Monitor</v>
      </c>
      <c r="C452" t="str">
        <f>Raw_Inventory!D452</f>
        <v>Acer</v>
      </c>
      <c r="D452">
        <f>Raw_Inventory!E452</f>
        <v>112</v>
      </c>
      <c r="E452">
        <f>Raw_Inventory!F452</f>
        <v>49</v>
      </c>
      <c r="F452">
        <f>Raw_Inventory!G452</f>
        <v>5000</v>
      </c>
      <c r="G452">
        <f t="shared" si="21"/>
        <v>63</v>
      </c>
      <c r="H452">
        <f t="shared" si="22"/>
        <v>315000</v>
      </c>
      <c r="I452" t="str">
        <f t="shared" si="23"/>
        <v>OK</v>
      </c>
    </row>
    <row r="453" spans="1:9" x14ac:dyDescent="0.25">
      <c r="A453" t="str">
        <f>Raw_Inventory!A453</f>
        <v>P1452</v>
      </c>
      <c r="B453" t="str">
        <f>Raw_Inventory!B453</f>
        <v>Headphones</v>
      </c>
      <c r="C453" t="str">
        <f>Raw_Inventory!D453</f>
        <v>Lenovo</v>
      </c>
      <c r="D453">
        <f>Raw_Inventory!E453</f>
        <v>97</v>
      </c>
      <c r="E453">
        <f>Raw_Inventory!F453</f>
        <v>25</v>
      </c>
      <c r="F453">
        <f>Raw_Inventory!G453</f>
        <v>800</v>
      </c>
      <c r="G453">
        <f t="shared" si="21"/>
        <v>72</v>
      </c>
      <c r="H453">
        <f t="shared" si="22"/>
        <v>57600</v>
      </c>
      <c r="I453" t="str">
        <f t="shared" si="23"/>
        <v>OK</v>
      </c>
    </row>
    <row r="454" spans="1:9" x14ac:dyDescent="0.25">
      <c r="A454" t="str">
        <f>Raw_Inventory!A454</f>
        <v>P1453</v>
      </c>
      <c r="B454" t="str">
        <f>Raw_Inventory!B454</f>
        <v>Laptop</v>
      </c>
      <c r="C454" t="str">
        <f>Raw_Inventory!D454</f>
        <v>Asus</v>
      </c>
      <c r="D454">
        <f>Raw_Inventory!E454</f>
        <v>110</v>
      </c>
      <c r="E454">
        <f>Raw_Inventory!F454</f>
        <v>128</v>
      </c>
      <c r="F454">
        <f>Raw_Inventory!G454</f>
        <v>5000</v>
      </c>
      <c r="G454">
        <f t="shared" si="21"/>
        <v>-18</v>
      </c>
      <c r="H454">
        <f t="shared" si="22"/>
        <v>-90000</v>
      </c>
      <c r="I454" t="str">
        <f t="shared" si="23"/>
        <v>Low Stock</v>
      </c>
    </row>
    <row r="455" spans="1:9" x14ac:dyDescent="0.25">
      <c r="A455" t="str">
        <f>Raw_Inventory!A455</f>
        <v>P1454</v>
      </c>
      <c r="B455" t="str">
        <f>Raw_Inventory!B455</f>
        <v>Webcam</v>
      </c>
      <c r="C455" t="str">
        <f>Raw_Inventory!D455</f>
        <v>Lenovo</v>
      </c>
      <c r="D455">
        <f>Raw_Inventory!E455</f>
        <v>28</v>
      </c>
      <c r="E455">
        <f>Raw_Inventory!F455</f>
        <v>88</v>
      </c>
      <c r="F455">
        <f>Raw_Inventory!G455</f>
        <v>1500</v>
      </c>
      <c r="G455">
        <f t="shared" si="21"/>
        <v>-60</v>
      </c>
      <c r="H455">
        <f t="shared" si="22"/>
        <v>-90000</v>
      </c>
      <c r="I455" t="str">
        <f t="shared" si="23"/>
        <v>Low Stock</v>
      </c>
    </row>
    <row r="456" spans="1:9" x14ac:dyDescent="0.25">
      <c r="A456" t="str">
        <f>Raw_Inventory!A456</f>
        <v>P1455</v>
      </c>
      <c r="B456" t="str">
        <f>Raw_Inventory!B456</f>
        <v>Monitor</v>
      </c>
      <c r="C456" t="str">
        <f>Raw_Inventory!D456</f>
        <v>Asus</v>
      </c>
      <c r="D456">
        <f>Raw_Inventory!E456</f>
        <v>53</v>
      </c>
      <c r="E456">
        <f>Raw_Inventory!F456</f>
        <v>86</v>
      </c>
      <c r="F456">
        <f>Raw_Inventory!G456</f>
        <v>2500</v>
      </c>
      <c r="G456">
        <f t="shared" si="21"/>
        <v>-33</v>
      </c>
      <c r="H456">
        <f t="shared" si="22"/>
        <v>-82500</v>
      </c>
      <c r="I456" t="str">
        <f t="shared" si="23"/>
        <v>Low Stock</v>
      </c>
    </row>
    <row r="457" spans="1:9" x14ac:dyDescent="0.25">
      <c r="A457" t="str">
        <f>Raw_Inventory!A457</f>
        <v>P1456</v>
      </c>
      <c r="B457" t="str">
        <f>Raw_Inventory!B457</f>
        <v>Webcam</v>
      </c>
      <c r="C457" t="str">
        <f>Raw_Inventory!D457</f>
        <v>Seagate</v>
      </c>
      <c r="D457">
        <f>Raw_Inventory!E457</f>
        <v>182</v>
      </c>
      <c r="E457">
        <f>Raw_Inventory!F457</f>
        <v>101</v>
      </c>
      <c r="F457">
        <f>Raw_Inventory!G457</f>
        <v>800</v>
      </c>
      <c r="G457">
        <f t="shared" si="21"/>
        <v>81</v>
      </c>
      <c r="H457">
        <f t="shared" si="22"/>
        <v>64800</v>
      </c>
      <c r="I457" t="str">
        <f t="shared" si="23"/>
        <v>OK</v>
      </c>
    </row>
    <row r="458" spans="1:9" x14ac:dyDescent="0.25">
      <c r="A458" t="str">
        <f>Raw_Inventory!A458</f>
        <v>P1457</v>
      </c>
      <c r="B458" t="str">
        <f>Raw_Inventory!B458</f>
        <v>SSD</v>
      </c>
      <c r="C458" t="str">
        <f>Raw_Inventory!D458</f>
        <v>Seagate</v>
      </c>
      <c r="D458">
        <f>Raw_Inventory!E458</f>
        <v>158</v>
      </c>
      <c r="E458">
        <f>Raw_Inventory!F458</f>
        <v>50</v>
      </c>
      <c r="F458">
        <f>Raw_Inventory!G458</f>
        <v>800</v>
      </c>
      <c r="G458">
        <f t="shared" si="21"/>
        <v>108</v>
      </c>
      <c r="H458">
        <f t="shared" si="22"/>
        <v>86400</v>
      </c>
      <c r="I458" t="str">
        <f t="shared" si="23"/>
        <v>OK</v>
      </c>
    </row>
    <row r="459" spans="1:9" x14ac:dyDescent="0.25">
      <c r="A459" t="str">
        <f>Raw_Inventory!A459</f>
        <v>P1458</v>
      </c>
      <c r="B459" t="str">
        <f>Raw_Inventory!B459</f>
        <v>Mouse</v>
      </c>
      <c r="C459" t="str">
        <f>Raw_Inventory!D459</f>
        <v>Samsung</v>
      </c>
      <c r="D459">
        <f>Raw_Inventory!E459</f>
        <v>35</v>
      </c>
      <c r="E459">
        <f>Raw_Inventory!F459</f>
        <v>18</v>
      </c>
      <c r="F459">
        <f>Raw_Inventory!G459</f>
        <v>12000</v>
      </c>
      <c r="G459">
        <f t="shared" si="21"/>
        <v>17</v>
      </c>
      <c r="H459">
        <f t="shared" si="22"/>
        <v>204000</v>
      </c>
      <c r="I459" t="str">
        <f t="shared" si="23"/>
        <v>OK</v>
      </c>
    </row>
    <row r="460" spans="1:9" x14ac:dyDescent="0.25">
      <c r="A460" t="str">
        <f>Raw_Inventory!A460</f>
        <v>P1459</v>
      </c>
      <c r="B460" t="str">
        <f>Raw_Inventory!B460</f>
        <v>Router</v>
      </c>
      <c r="C460" t="str">
        <f>Raw_Inventory!D460</f>
        <v>Dell</v>
      </c>
      <c r="D460">
        <f>Raw_Inventory!E460</f>
        <v>169</v>
      </c>
      <c r="E460">
        <f>Raw_Inventory!F460</f>
        <v>91</v>
      </c>
      <c r="F460">
        <f>Raw_Inventory!G460</f>
        <v>8000</v>
      </c>
      <c r="G460">
        <f t="shared" si="21"/>
        <v>78</v>
      </c>
      <c r="H460">
        <f t="shared" si="22"/>
        <v>624000</v>
      </c>
      <c r="I460" t="str">
        <f t="shared" si="23"/>
        <v>OK</v>
      </c>
    </row>
    <row r="461" spans="1:9" x14ac:dyDescent="0.25">
      <c r="A461" t="str">
        <f>Raw_Inventory!A461</f>
        <v>P1460</v>
      </c>
      <c r="B461" t="str">
        <f>Raw_Inventory!B461</f>
        <v>Mouse</v>
      </c>
      <c r="C461" t="str">
        <f>Raw_Inventory!D461</f>
        <v>Canon</v>
      </c>
      <c r="D461">
        <f>Raw_Inventory!E461</f>
        <v>51</v>
      </c>
      <c r="E461">
        <f>Raw_Inventory!F461</f>
        <v>14</v>
      </c>
      <c r="F461">
        <f>Raw_Inventory!G461</f>
        <v>30000</v>
      </c>
      <c r="G461">
        <f t="shared" si="21"/>
        <v>37</v>
      </c>
      <c r="H461">
        <f t="shared" si="22"/>
        <v>1110000</v>
      </c>
      <c r="I461" t="str">
        <f t="shared" si="23"/>
        <v>OK</v>
      </c>
    </row>
    <row r="462" spans="1:9" x14ac:dyDescent="0.25">
      <c r="A462" t="str">
        <f>Raw_Inventory!A462</f>
        <v>P1461</v>
      </c>
      <c r="B462" t="str">
        <f>Raw_Inventory!B462</f>
        <v>Monitor</v>
      </c>
      <c r="C462" t="str">
        <f>Raw_Inventory!D462</f>
        <v>HP</v>
      </c>
      <c r="D462">
        <f>Raw_Inventory!E462</f>
        <v>38</v>
      </c>
      <c r="E462">
        <f>Raw_Inventory!F462</f>
        <v>120</v>
      </c>
      <c r="F462">
        <f>Raw_Inventory!G462</f>
        <v>1200</v>
      </c>
      <c r="G462">
        <f t="shared" si="21"/>
        <v>-82</v>
      </c>
      <c r="H462">
        <f t="shared" si="22"/>
        <v>-98400</v>
      </c>
      <c r="I462" t="str">
        <f t="shared" si="23"/>
        <v>Low Stock</v>
      </c>
    </row>
    <row r="463" spans="1:9" x14ac:dyDescent="0.25">
      <c r="A463" t="str">
        <f>Raw_Inventory!A463</f>
        <v>P1462</v>
      </c>
      <c r="B463" t="str">
        <f>Raw_Inventory!B463</f>
        <v>Printer</v>
      </c>
      <c r="C463" t="str">
        <f>Raw_Inventory!D463</f>
        <v>TP-Link</v>
      </c>
      <c r="D463">
        <f>Raw_Inventory!E463</f>
        <v>192</v>
      </c>
      <c r="E463">
        <f>Raw_Inventory!F463</f>
        <v>108</v>
      </c>
      <c r="F463">
        <f>Raw_Inventory!G463</f>
        <v>8000</v>
      </c>
      <c r="G463">
        <f t="shared" si="21"/>
        <v>84</v>
      </c>
      <c r="H463">
        <f t="shared" si="22"/>
        <v>672000</v>
      </c>
      <c r="I463" t="str">
        <f t="shared" si="23"/>
        <v>OK</v>
      </c>
    </row>
    <row r="464" spans="1:9" x14ac:dyDescent="0.25">
      <c r="A464" t="str">
        <f>Raw_Inventory!A464</f>
        <v>P1463</v>
      </c>
      <c r="B464" t="str">
        <f>Raw_Inventory!B464</f>
        <v>Router</v>
      </c>
      <c r="C464" t="str">
        <f>Raw_Inventory!D464</f>
        <v>Acer</v>
      </c>
      <c r="D464">
        <f>Raw_Inventory!E464</f>
        <v>123</v>
      </c>
      <c r="E464">
        <f>Raw_Inventory!F464</f>
        <v>34</v>
      </c>
      <c r="F464">
        <f>Raw_Inventory!G464</f>
        <v>1200</v>
      </c>
      <c r="G464">
        <f t="shared" si="21"/>
        <v>89</v>
      </c>
      <c r="H464">
        <f t="shared" si="22"/>
        <v>106800</v>
      </c>
      <c r="I464" t="str">
        <f t="shared" si="23"/>
        <v>OK</v>
      </c>
    </row>
    <row r="465" spans="1:9" x14ac:dyDescent="0.25">
      <c r="A465" t="str">
        <f>Raw_Inventory!A465</f>
        <v>P1464</v>
      </c>
      <c r="B465" t="str">
        <f>Raw_Inventory!B465</f>
        <v>Mouse</v>
      </c>
      <c r="C465" t="str">
        <f>Raw_Inventory!D465</f>
        <v>Lenovo</v>
      </c>
      <c r="D465">
        <f>Raw_Inventory!E465</f>
        <v>164</v>
      </c>
      <c r="E465">
        <f>Raw_Inventory!F465</f>
        <v>79</v>
      </c>
      <c r="F465">
        <f>Raw_Inventory!G465</f>
        <v>800</v>
      </c>
      <c r="G465">
        <f t="shared" si="21"/>
        <v>85</v>
      </c>
      <c r="H465">
        <f t="shared" si="22"/>
        <v>68000</v>
      </c>
      <c r="I465" t="str">
        <f t="shared" si="23"/>
        <v>OK</v>
      </c>
    </row>
    <row r="466" spans="1:9" x14ac:dyDescent="0.25">
      <c r="A466" t="str">
        <f>Raw_Inventory!A466</f>
        <v>P1465</v>
      </c>
      <c r="B466" t="str">
        <f>Raw_Inventory!B466</f>
        <v>Mouse</v>
      </c>
      <c r="C466" t="str">
        <f>Raw_Inventory!D466</f>
        <v>Dell</v>
      </c>
      <c r="D466">
        <f>Raw_Inventory!E466</f>
        <v>111</v>
      </c>
      <c r="E466">
        <f>Raw_Inventory!F466</f>
        <v>72</v>
      </c>
      <c r="F466">
        <f>Raw_Inventory!G466</f>
        <v>1500</v>
      </c>
      <c r="G466">
        <f t="shared" si="21"/>
        <v>39</v>
      </c>
      <c r="H466">
        <f t="shared" si="22"/>
        <v>58500</v>
      </c>
      <c r="I466" t="str">
        <f t="shared" si="23"/>
        <v>OK</v>
      </c>
    </row>
    <row r="467" spans="1:9" x14ac:dyDescent="0.25">
      <c r="A467" t="str">
        <f>Raw_Inventory!A467</f>
        <v>P1466</v>
      </c>
      <c r="B467" t="str">
        <f>Raw_Inventory!B467</f>
        <v>Router</v>
      </c>
      <c r="C467" t="str">
        <f>Raw_Inventory!D467</f>
        <v>Dell</v>
      </c>
      <c r="D467">
        <f>Raw_Inventory!E467</f>
        <v>48</v>
      </c>
      <c r="E467">
        <f>Raw_Inventory!F467</f>
        <v>55</v>
      </c>
      <c r="F467">
        <f>Raw_Inventory!G467</f>
        <v>8000</v>
      </c>
      <c r="G467">
        <f t="shared" si="21"/>
        <v>-7</v>
      </c>
      <c r="H467">
        <f t="shared" si="22"/>
        <v>-56000</v>
      </c>
      <c r="I467" t="str">
        <f t="shared" si="23"/>
        <v>Low Stock</v>
      </c>
    </row>
    <row r="468" spans="1:9" x14ac:dyDescent="0.25">
      <c r="A468" t="str">
        <f>Raw_Inventory!A468</f>
        <v>P1467</v>
      </c>
      <c r="B468" t="str">
        <f>Raw_Inventory!B468</f>
        <v>Printer</v>
      </c>
      <c r="C468" t="str">
        <f>Raw_Inventory!D468</f>
        <v>TP-Link</v>
      </c>
      <c r="D468">
        <f>Raw_Inventory!E468</f>
        <v>64</v>
      </c>
      <c r="E468">
        <f>Raw_Inventory!F468</f>
        <v>118</v>
      </c>
      <c r="F468">
        <f>Raw_Inventory!G468</f>
        <v>1500</v>
      </c>
      <c r="G468">
        <f t="shared" si="21"/>
        <v>-54</v>
      </c>
      <c r="H468">
        <f t="shared" si="22"/>
        <v>-81000</v>
      </c>
      <c r="I468" t="str">
        <f t="shared" si="23"/>
        <v>Low Stock</v>
      </c>
    </row>
    <row r="469" spans="1:9" x14ac:dyDescent="0.25">
      <c r="A469" t="str">
        <f>Raw_Inventory!A469</f>
        <v>P1468</v>
      </c>
      <c r="B469" t="str">
        <f>Raw_Inventory!B469</f>
        <v>Printer</v>
      </c>
      <c r="C469" t="str">
        <f>Raw_Inventory!D469</f>
        <v>Seagate</v>
      </c>
      <c r="D469">
        <f>Raw_Inventory!E469</f>
        <v>191</v>
      </c>
      <c r="E469">
        <f>Raw_Inventory!F469</f>
        <v>57</v>
      </c>
      <c r="F469">
        <f>Raw_Inventory!G469</f>
        <v>2500</v>
      </c>
      <c r="G469">
        <f t="shared" si="21"/>
        <v>134</v>
      </c>
      <c r="H469">
        <f t="shared" si="22"/>
        <v>335000</v>
      </c>
      <c r="I469" t="str">
        <f t="shared" si="23"/>
        <v>OK</v>
      </c>
    </row>
    <row r="470" spans="1:9" x14ac:dyDescent="0.25">
      <c r="A470" t="str">
        <f>Raw_Inventory!A470</f>
        <v>P1469</v>
      </c>
      <c r="B470" t="str">
        <f>Raw_Inventory!B470</f>
        <v>Mouse</v>
      </c>
      <c r="C470" t="str">
        <f>Raw_Inventory!D470</f>
        <v>Lenovo</v>
      </c>
      <c r="D470">
        <f>Raw_Inventory!E470</f>
        <v>129</v>
      </c>
      <c r="E470">
        <f>Raw_Inventory!F470</f>
        <v>110</v>
      </c>
      <c r="F470">
        <f>Raw_Inventory!G470</f>
        <v>8000</v>
      </c>
      <c r="G470">
        <f t="shared" si="21"/>
        <v>19</v>
      </c>
      <c r="H470">
        <f t="shared" si="22"/>
        <v>152000</v>
      </c>
      <c r="I470" t="str">
        <f t="shared" si="23"/>
        <v>OK</v>
      </c>
    </row>
    <row r="471" spans="1:9" x14ac:dyDescent="0.25">
      <c r="A471" t="str">
        <f>Raw_Inventory!A471</f>
        <v>P1470</v>
      </c>
      <c r="B471" t="str">
        <f>Raw_Inventory!B471</f>
        <v>Keyboard</v>
      </c>
      <c r="C471" t="str">
        <f>Raw_Inventory!D471</f>
        <v>Samsung</v>
      </c>
      <c r="D471">
        <f>Raw_Inventory!E471</f>
        <v>135</v>
      </c>
      <c r="E471">
        <f>Raw_Inventory!F471</f>
        <v>78</v>
      </c>
      <c r="F471">
        <f>Raw_Inventory!G471</f>
        <v>8000</v>
      </c>
      <c r="G471">
        <f t="shared" si="21"/>
        <v>57</v>
      </c>
      <c r="H471">
        <f t="shared" si="22"/>
        <v>456000</v>
      </c>
      <c r="I471" t="str">
        <f t="shared" si="23"/>
        <v>OK</v>
      </c>
    </row>
    <row r="472" spans="1:9" x14ac:dyDescent="0.25">
      <c r="A472" t="str">
        <f>Raw_Inventory!A472</f>
        <v>P1471</v>
      </c>
      <c r="B472" t="str">
        <f>Raw_Inventory!B472</f>
        <v>Headphones</v>
      </c>
      <c r="C472" t="str">
        <f>Raw_Inventory!D472</f>
        <v>Lenovo</v>
      </c>
      <c r="D472">
        <f>Raw_Inventory!E472</f>
        <v>60</v>
      </c>
      <c r="E472">
        <f>Raw_Inventory!F472</f>
        <v>33</v>
      </c>
      <c r="F472">
        <f>Raw_Inventory!G472</f>
        <v>500</v>
      </c>
      <c r="G472">
        <f t="shared" si="21"/>
        <v>27</v>
      </c>
      <c r="H472">
        <f t="shared" si="22"/>
        <v>13500</v>
      </c>
      <c r="I472" t="str">
        <f t="shared" si="23"/>
        <v>OK</v>
      </c>
    </row>
    <row r="473" spans="1:9" x14ac:dyDescent="0.25">
      <c r="A473" t="str">
        <f>Raw_Inventory!A473</f>
        <v>P1472</v>
      </c>
      <c r="B473" t="str">
        <f>Raw_Inventory!B473</f>
        <v>SSD</v>
      </c>
      <c r="C473" t="str">
        <f>Raw_Inventory!D473</f>
        <v>Samsung</v>
      </c>
      <c r="D473">
        <f>Raw_Inventory!E473</f>
        <v>155</v>
      </c>
      <c r="E473">
        <f>Raw_Inventory!F473</f>
        <v>101</v>
      </c>
      <c r="F473">
        <f>Raw_Inventory!G473</f>
        <v>8000</v>
      </c>
      <c r="G473">
        <f t="shared" si="21"/>
        <v>54</v>
      </c>
      <c r="H473">
        <f t="shared" si="22"/>
        <v>432000</v>
      </c>
      <c r="I473" t="str">
        <f t="shared" si="23"/>
        <v>OK</v>
      </c>
    </row>
    <row r="474" spans="1:9" x14ac:dyDescent="0.25">
      <c r="A474" t="str">
        <f>Raw_Inventory!A474</f>
        <v>P1473</v>
      </c>
      <c r="B474" t="str">
        <f>Raw_Inventory!B474</f>
        <v>Headphones</v>
      </c>
      <c r="C474" t="str">
        <f>Raw_Inventory!D474</f>
        <v>Dell</v>
      </c>
      <c r="D474">
        <f>Raw_Inventory!E474</f>
        <v>165</v>
      </c>
      <c r="E474">
        <f>Raw_Inventory!F474</f>
        <v>81</v>
      </c>
      <c r="F474">
        <f>Raw_Inventory!G474</f>
        <v>30000</v>
      </c>
      <c r="G474">
        <f t="shared" si="21"/>
        <v>84</v>
      </c>
      <c r="H474">
        <f t="shared" si="22"/>
        <v>2520000</v>
      </c>
      <c r="I474" t="str">
        <f t="shared" si="23"/>
        <v>OK</v>
      </c>
    </row>
    <row r="475" spans="1:9" x14ac:dyDescent="0.25">
      <c r="A475" t="str">
        <f>Raw_Inventory!A475</f>
        <v>P1474</v>
      </c>
      <c r="B475" t="str">
        <f>Raw_Inventory!B475</f>
        <v>Webcam</v>
      </c>
      <c r="C475" t="str">
        <f>Raw_Inventory!D475</f>
        <v>Seagate</v>
      </c>
      <c r="D475">
        <f>Raw_Inventory!E475</f>
        <v>130</v>
      </c>
      <c r="E475">
        <f>Raw_Inventory!F475</f>
        <v>25</v>
      </c>
      <c r="F475">
        <f>Raw_Inventory!G475</f>
        <v>500</v>
      </c>
      <c r="G475">
        <f t="shared" si="21"/>
        <v>105</v>
      </c>
      <c r="H475">
        <f t="shared" si="22"/>
        <v>52500</v>
      </c>
      <c r="I475" t="str">
        <f t="shared" si="23"/>
        <v>OK</v>
      </c>
    </row>
    <row r="476" spans="1:9" x14ac:dyDescent="0.25">
      <c r="A476" t="str">
        <f>Raw_Inventory!A476</f>
        <v>P1475</v>
      </c>
      <c r="B476" t="str">
        <f>Raw_Inventory!B476</f>
        <v>Webcam</v>
      </c>
      <c r="C476" t="str">
        <f>Raw_Inventory!D476</f>
        <v>Asus</v>
      </c>
      <c r="D476">
        <f>Raw_Inventory!E476</f>
        <v>197</v>
      </c>
      <c r="E476">
        <f>Raw_Inventory!F476</f>
        <v>83</v>
      </c>
      <c r="F476">
        <f>Raw_Inventory!G476</f>
        <v>800</v>
      </c>
      <c r="G476">
        <f t="shared" si="21"/>
        <v>114</v>
      </c>
      <c r="H476">
        <f t="shared" si="22"/>
        <v>91200</v>
      </c>
      <c r="I476" t="str">
        <f t="shared" si="23"/>
        <v>OK</v>
      </c>
    </row>
    <row r="477" spans="1:9" x14ac:dyDescent="0.25">
      <c r="A477" t="str">
        <f>Raw_Inventory!A477</f>
        <v>P1476</v>
      </c>
      <c r="B477" t="str">
        <f>Raw_Inventory!B477</f>
        <v>Monitor</v>
      </c>
      <c r="C477" t="str">
        <f>Raw_Inventory!D477</f>
        <v>Dell</v>
      </c>
      <c r="D477">
        <f>Raw_Inventory!E477</f>
        <v>134</v>
      </c>
      <c r="E477">
        <f>Raw_Inventory!F477</f>
        <v>20</v>
      </c>
      <c r="F477">
        <f>Raw_Inventory!G477</f>
        <v>8000</v>
      </c>
      <c r="G477">
        <f t="shared" si="21"/>
        <v>114</v>
      </c>
      <c r="H477">
        <f t="shared" si="22"/>
        <v>912000</v>
      </c>
      <c r="I477" t="str">
        <f t="shared" si="23"/>
        <v>OK</v>
      </c>
    </row>
    <row r="478" spans="1:9" x14ac:dyDescent="0.25">
      <c r="A478" t="str">
        <f>Raw_Inventory!A478</f>
        <v>P1477</v>
      </c>
      <c r="B478" t="str">
        <f>Raw_Inventory!B478</f>
        <v>Router</v>
      </c>
      <c r="C478" t="str">
        <f>Raw_Inventory!D478</f>
        <v>Seagate</v>
      </c>
      <c r="D478">
        <f>Raw_Inventory!E478</f>
        <v>165</v>
      </c>
      <c r="E478">
        <f>Raw_Inventory!F478</f>
        <v>83</v>
      </c>
      <c r="F478">
        <f>Raw_Inventory!G478</f>
        <v>5000</v>
      </c>
      <c r="G478">
        <f t="shared" si="21"/>
        <v>82</v>
      </c>
      <c r="H478">
        <f t="shared" si="22"/>
        <v>410000</v>
      </c>
      <c r="I478" t="str">
        <f t="shared" si="23"/>
        <v>OK</v>
      </c>
    </row>
    <row r="479" spans="1:9" x14ac:dyDescent="0.25">
      <c r="A479" t="str">
        <f>Raw_Inventory!A479</f>
        <v>P1478</v>
      </c>
      <c r="B479" t="str">
        <f>Raw_Inventory!B479</f>
        <v>Webcam</v>
      </c>
      <c r="C479" t="str">
        <f>Raw_Inventory!D479</f>
        <v>Canon</v>
      </c>
      <c r="D479">
        <f>Raw_Inventory!E479</f>
        <v>188</v>
      </c>
      <c r="E479">
        <f>Raw_Inventory!F479</f>
        <v>34</v>
      </c>
      <c r="F479">
        <f>Raw_Inventory!G479</f>
        <v>800</v>
      </c>
      <c r="G479">
        <f t="shared" si="21"/>
        <v>154</v>
      </c>
      <c r="H479">
        <f t="shared" si="22"/>
        <v>123200</v>
      </c>
      <c r="I479" t="str">
        <f t="shared" si="23"/>
        <v>OK</v>
      </c>
    </row>
    <row r="480" spans="1:9" x14ac:dyDescent="0.25">
      <c r="A480" t="str">
        <f>Raw_Inventory!A480</f>
        <v>P1479</v>
      </c>
      <c r="B480" t="str">
        <f>Raw_Inventory!B480</f>
        <v>Tablet</v>
      </c>
      <c r="C480" t="str">
        <f>Raw_Inventory!D480</f>
        <v>Asus</v>
      </c>
      <c r="D480">
        <f>Raw_Inventory!E480</f>
        <v>171</v>
      </c>
      <c r="E480">
        <f>Raw_Inventory!F480</f>
        <v>146</v>
      </c>
      <c r="F480">
        <f>Raw_Inventory!G480</f>
        <v>8000</v>
      </c>
      <c r="G480">
        <f t="shared" si="21"/>
        <v>25</v>
      </c>
      <c r="H480">
        <f t="shared" si="22"/>
        <v>200000</v>
      </c>
      <c r="I480" t="str">
        <f t="shared" si="23"/>
        <v>OK</v>
      </c>
    </row>
    <row r="481" spans="1:9" x14ac:dyDescent="0.25">
      <c r="A481" t="str">
        <f>Raw_Inventory!A481</f>
        <v>P1480</v>
      </c>
      <c r="B481" t="str">
        <f>Raw_Inventory!B481</f>
        <v>Mouse</v>
      </c>
      <c r="C481" t="str">
        <f>Raw_Inventory!D481</f>
        <v>Lenovo</v>
      </c>
      <c r="D481">
        <f>Raw_Inventory!E481</f>
        <v>150</v>
      </c>
      <c r="E481">
        <f>Raw_Inventory!F481</f>
        <v>105</v>
      </c>
      <c r="F481">
        <f>Raw_Inventory!G481</f>
        <v>1500</v>
      </c>
      <c r="G481">
        <f t="shared" si="21"/>
        <v>45</v>
      </c>
      <c r="H481">
        <f t="shared" si="22"/>
        <v>67500</v>
      </c>
      <c r="I481" t="str">
        <f t="shared" si="23"/>
        <v>OK</v>
      </c>
    </row>
    <row r="482" spans="1:9" x14ac:dyDescent="0.25">
      <c r="A482" t="str">
        <f>Raw_Inventory!A482</f>
        <v>P1481</v>
      </c>
      <c r="B482" t="str">
        <f>Raw_Inventory!B482</f>
        <v>Router</v>
      </c>
      <c r="C482" t="str">
        <f>Raw_Inventory!D482</f>
        <v>Samsung</v>
      </c>
      <c r="D482">
        <f>Raw_Inventory!E482</f>
        <v>66</v>
      </c>
      <c r="E482">
        <f>Raw_Inventory!F482</f>
        <v>140</v>
      </c>
      <c r="F482">
        <f>Raw_Inventory!G482</f>
        <v>55000</v>
      </c>
      <c r="G482">
        <f t="shared" si="21"/>
        <v>-74</v>
      </c>
      <c r="H482">
        <f t="shared" si="22"/>
        <v>-4070000</v>
      </c>
      <c r="I482" t="str">
        <f t="shared" si="23"/>
        <v>Low Stock</v>
      </c>
    </row>
    <row r="483" spans="1:9" x14ac:dyDescent="0.25">
      <c r="A483" t="str">
        <f>Raw_Inventory!A483</f>
        <v>P1482</v>
      </c>
      <c r="B483" t="str">
        <f>Raw_Inventory!B483</f>
        <v>Headphones</v>
      </c>
      <c r="C483" t="str">
        <f>Raw_Inventory!D483</f>
        <v>Samsung</v>
      </c>
      <c r="D483">
        <f>Raw_Inventory!E483</f>
        <v>77</v>
      </c>
      <c r="E483">
        <f>Raw_Inventory!F483</f>
        <v>116</v>
      </c>
      <c r="F483">
        <f>Raw_Inventory!G483</f>
        <v>1500</v>
      </c>
      <c r="G483">
        <f t="shared" si="21"/>
        <v>-39</v>
      </c>
      <c r="H483">
        <f t="shared" si="22"/>
        <v>-58500</v>
      </c>
      <c r="I483" t="str">
        <f t="shared" si="23"/>
        <v>Low Stock</v>
      </c>
    </row>
    <row r="484" spans="1:9" x14ac:dyDescent="0.25">
      <c r="A484" t="str">
        <f>Raw_Inventory!A484</f>
        <v>P1483</v>
      </c>
      <c r="B484" t="str">
        <f>Raw_Inventory!B484</f>
        <v>Headphones</v>
      </c>
      <c r="C484" t="str">
        <f>Raw_Inventory!D484</f>
        <v>HP</v>
      </c>
      <c r="D484">
        <f>Raw_Inventory!E484</f>
        <v>130</v>
      </c>
      <c r="E484">
        <f>Raw_Inventory!F484</f>
        <v>45</v>
      </c>
      <c r="F484">
        <f>Raw_Inventory!G484</f>
        <v>30000</v>
      </c>
      <c r="G484">
        <f t="shared" si="21"/>
        <v>85</v>
      </c>
      <c r="H484">
        <f t="shared" si="22"/>
        <v>2550000</v>
      </c>
      <c r="I484" t="str">
        <f t="shared" si="23"/>
        <v>OK</v>
      </c>
    </row>
    <row r="485" spans="1:9" x14ac:dyDescent="0.25">
      <c r="A485" t="str">
        <f>Raw_Inventory!A485</f>
        <v>P1484</v>
      </c>
      <c r="B485" t="str">
        <f>Raw_Inventory!B485</f>
        <v>Monitor</v>
      </c>
      <c r="C485" t="str">
        <f>Raw_Inventory!D485</f>
        <v>TP-Link</v>
      </c>
      <c r="D485">
        <f>Raw_Inventory!E485</f>
        <v>120</v>
      </c>
      <c r="E485">
        <f>Raw_Inventory!F485</f>
        <v>131</v>
      </c>
      <c r="F485">
        <f>Raw_Inventory!G485</f>
        <v>500</v>
      </c>
      <c r="G485">
        <f t="shared" si="21"/>
        <v>-11</v>
      </c>
      <c r="H485">
        <f t="shared" si="22"/>
        <v>-5500</v>
      </c>
      <c r="I485" t="str">
        <f t="shared" si="23"/>
        <v>Low Stock</v>
      </c>
    </row>
    <row r="486" spans="1:9" x14ac:dyDescent="0.25">
      <c r="A486" t="str">
        <f>Raw_Inventory!A486</f>
        <v>P1485</v>
      </c>
      <c r="B486" t="str">
        <f>Raw_Inventory!B486</f>
        <v>Printer</v>
      </c>
      <c r="C486" t="str">
        <f>Raw_Inventory!D486</f>
        <v>Samsung</v>
      </c>
      <c r="D486">
        <f>Raw_Inventory!E486</f>
        <v>75</v>
      </c>
      <c r="E486">
        <f>Raw_Inventory!F486</f>
        <v>27</v>
      </c>
      <c r="F486">
        <f>Raw_Inventory!G486</f>
        <v>1500</v>
      </c>
      <c r="G486">
        <f t="shared" si="21"/>
        <v>48</v>
      </c>
      <c r="H486">
        <f t="shared" si="22"/>
        <v>72000</v>
      </c>
      <c r="I486" t="str">
        <f t="shared" si="23"/>
        <v>OK</v>
      </c>
    </row>
    <row r="487" spans="1:9" x14ac:dyDescent="0.25">
      <c r="A487" t="str">
        <f>Raw_Inventory!A487</f>
        <v>P1486</v>
      </c>
      <c r="B487" t="str">
        <f>Raw_Inventory!B487</f>
        <v>Router</v>
      </c>
      <c r="C487" t="str">
        <f>Raw_Inventory!D487</f>
        <v>Dell</v>
      </c>
      <c r="D487">
        <f>Raw_Inventory!E487</f>
        <v>117</v>
      </c>
      <c r="E487">
        <f>Raw_Inventory!F487</f>
        <v>12</v>
      </c>
      <c r="F487">
        <f>Raw_Inventory!G487</f>
        <v>800</v>
      </c>
      <c r="G487">
        <f t="shared" si="21"/>
        <v>105</v>
      </c>
      <c r="H487">
        <f t="shared" si="22"/>
        <v>84000</v>
      </c>
      <c r="I487" t="str">
        <f t="shared" si="23"/>
        <v>OK</v>
      </c>
    </row>
    <row r="488" spans="1:9" x14ac:dyDescent="0.25">
      <c r="A488" t="str">
        <f>Raw_Inventory!A488</f>
        <v>P1487</v>
      </c>
      <c r="B488" t="str">
        <f>Raw_Inventory!B488</f>
        <v>Mouse</v>
      </c>
      <c r="C488" t="str">
        <f>Raw_Inventory!D488</f>
        <v>Canon</v>
      </c>
      <c r="D488">
        <f>Raw_Inventory!E488</f>
        <v>99</v>
      </c>
      <c r="E488">
        <f>Raw_Inventory!F488</f>
        <v>119</v>
      </c>
      <c r="F488">
        <f>Raw_Inventory!G488</f>
        <v>800</v>
      </c>
      <c r="G488">
        <f t="shared" si="21"/>
        <v>-20</v>
      </c>
      <c r="H488">
        <f t="shared" si="22"/>
        <v>-16000</v>
      </c>
      <c r="I488" t="str">
        <f t="shared" si="23"/>
        <v>Low Stock</v>
      </c>
    </row>
    <row r="489" spans="1:9" x14ac:dyDescent="0.25">
      <c r="A489" t="str">
        <f>Raw_Inventory!A489</f>
        <v>P1488</v>
      </c>
      <c r="B489" t="str">
        <f>Raw_Inventory!B489</f>
        <v>Headphones</v>
      </c>
      <c r="C489" t="str">
        <f>Raw_Inventory!D489</f>
        <v>Acer</v>
      </c>
      <c r="D489">
        <f>Raw_Inventory!E489</f>
        <v>49</v>
      </c>
      <c r="E489">
        <f>Raw_Inventory!F489</f>
        <v>139</v>
      </c>
      <c r="F489">
        <f>Raw_Inventory!G489</f>
        <v>12000</v>
      </c>
      <c r="G489">
        <f t="shared" si="21"/>
        <v>-90</v>
      </c>
      <c r="H489">
        <f t="shared" si="22"/>
        <v>-1080000</v>
      </c>
      <c r="I489" t="str">
        <f t="shared" si="23"/>
        <v>Low Stock</v>
      </c>
    </row>
    <row r="490" spans="1:9" x14ac:dyDescent="0.25">
      <c r="A490" t="str">
        <f>Raw_Inventory!A490</f>
        <v>P1489</v>
      </c>
      <c r="B490" t="str">
        <f>Raw_Inventory!B490</f>
        <v>Keyboard</v>
      </c>
      <c r="C490" t="str">
        <f>Raw_Inventory!D490</f>
        <v>Dell</v>
      </c>
      <c r="D490">
        <f>Raw_Inventory!E490</f>
        <v>104</v>
      </c>
      <c r="E490">
        <f>Raw_Inventory!F490</f>
        <v>0</v>
      </c>
      <c r="F490">
        <f>Raw_Inventory!G490</f>
        <v>2500</v>
      </c>
      <c r="G490">
        <f t="shared" si="21"/>
        <v>104</v>
      </c>
      <c r="H490">
        <f t="shared" si="22"/>
        <v>260000</v>
      </c>
      <c r="I490" t="str">
        <f t="shared" si="23"/>
        <v>OK</v>
      </c>
    </row>
    <row r="491" spans="1:9" x14ac:dyDescent="0.25">
      <c r="A491" t="str">
        <f>Raw_Inventory!A491</f>
        <v>P1490</v>
      </c>
      <c r="B491" t="str">
        <f>Raw_Inventory!B491</f>
        <v>Headphones</v>
      </c>
      <c r="C491" t="str">
        <f>Raw_Inventory!D491</f>
        <v>Lenovo</v>
      </c>
      <c r="D491">
        <f>Raw_Inventory!E491</f>
        <v>180</v>
      </c>
      <c r="E491">
        <f>Raw_Inventory!F491</f>
        <v>89</v>
      </c>
      <c r="F491">
        <f>Raw_Inventory!G491</f>
        <v>500</v>
      </c>
      <c r="G491">
        <f t="shared" si="21"/>
        <v>91</v>
      </c>
      <c r="H491">
        <f t="shared" si="22"/>
        <v>45500</v>
      </c>
      <c r="I491" t="str">
        <f t="shared" si="23"/>
        <v>OK</v>
      </c>
    </row>
    <row r="492" spans="1:9" x14ac:dyDescent="0.25">
      <c r="A492" t="str">
        <f>Raw_Inventory!A492</f>
        <v>P1491</v>
      </c>
      <c r="B492" t="str">
        <f>Raw_Inventory!B492</f>
        <v>Monitor</v>
      </c>
      <c r="C492" t="str">
        <f>Raw_Inventory!D492</f>
        <v>TP-Link</v>
      </c>
      <c r="D492">
        <f>Raw_Inventory!E492</f>
        <v>136</v>
      </c>
      <c r="E492">
        <f>Raw_Inventory!F492</f>
        <v>103</v>
      </c>
      <c r="F492">
        <f>Raw_Inventory!G492</f>
        <v>12000</v>
      </c>
      <c r="G492">
        <f t="shared" si="21"/>
        <v>33</v>
      </c>
      <c r="H492">
        <f t="shared" si="22"/>
        <v>396000</v>
      </c>
      <c r="I492" t="str">
        <f t="shared" si="23"/>
        <v>OK</v>
      </c>
    </row>
    <row r="493" spans="1:9" x14ac:dyDescent="0.25">
      <c r="A493" t="str">
        <f>Raw_Inventory!A493</f>
        <v>P1492</v>
      </c>
      <c r="B493" t="str">
        <f>Raw_Inventory!B493</f>
        <v>Mouse</v>
      </c>
      <c r="C493" t="str">
        <f>Raw_Inventory!D493</f>
        <v>HP</v>
      </c>
      <c r="D493">
        <f>Raw_Inventory!E493</f>
        <v>177</v>
      </c>
      <c r="E493">
        <f>Raw_Inventory!F493</f>
        <v>123</v>
      </c>
      <c r="F493">
        <f>Raw_Inventory!G493</f>
        <v>2500</v>
      </c>
      <c r="G493">
        <f t="shared" si="21"/>
        <v>54</v>
      </c>
      <c r="H493">
        <f t="shared" si="22"/>
        <v>135000</v>
      </c>
      <c r="I493" t="str">
        <f t="shared" si="23"/>
        <v>OK</v>
      </c>
    </row>
    <row r="494" spans="1:9" x14ac:dyDescent="0.25">
      <c r="A494" t="str">
        <f>Raw_Inventory!A494</f>
        <v>P1493</v>
      </c>
      <c r="B494" t="str">
        <f>Raw_Inventory!B494</f>
        <v>Keyboard</v>
      </c>
      <c r="C494" t="str">
        <f>Raw_Inventory!D494</f>
        <v>Logitech</v>
      </c>
      <c r="D494">
        <f>Raw_Inventory!E494</f>
        <v>77</v>
      </c>
      <c r="E494">
        <f>Raw_Inventory!F494</f>
        <v>97</v>
      </c>
      <c r="F494">
        <f>Raw_Inventory!G494</f>
        <v>2500</v>
      </c>
      <c r="G494">
        <f t="shared" si="21"/>
        <v>-20</v>
      </c>
      <c r="H494">
        <f t="shared" si="22"/>
        <v>-50000</v>
      </c>
      <c r="I494" t="str">
        <f t="shared" si="23"/>
        <v>Low Stock</v>
      </c>
    </row>
    <row r="495" spans="1:9" x14ac:dyDescent="0.25">
      <c r="A495" t="str">
        <f>Raw_Inventory!A495</f>
        <v>P1494</v>
      </c>
      <c r="B495" t="str">
        <f>Raw_Inventory!B495</f>
        <v>Router</v>
      </c>
      <c r="C495" t="str">
        <f>Raw_Inventory!D495</f>
        <v>Acer</v>
      </c>
      <c r="D495">
        <f>Raw_Inventory!E495</f>
        <v>190</v>
      </c>
      <c r="E495">
        <f>Raw_Inventory!F495</f>
        <v>16</v>
      </c>
      <c r="F495">
        <f>Raw_Inventory!G495</f>
        <v>1500</v>
      </c>
      <c r="G495">
        <f t="shared" si="21"/>
        <v>174</v>
      </c>
      <c r="H495">
        <f t="shared" si="22"/>
        <v>261000</v>
      </c>
      <c r="I495" t="str">
        <f t="shared" si="23"/>
        <v>OK</v>
      </c>
    </row>
    <row r="496" spans="1:9" x14ac:dyDescent="0.25">
      <c r="A496" t="str">
        <f>Raw_Inventory!A496</f>
        <v>P1495</v>
      </c>
      <c r="B496" t="str">
        <f>Raw_Inventory!B496</f>
        <v>SSD</v>
      </c>
      <c r="C496" t="str">
        <f>Raw_Inventory!D496</f>
        <v>Samsung</v>
      </c>
      <c r="D496">
        <f>Raw_Inventory!E496</f>
        <v>192</v>
      </c>
      <c r="E496">
        <f>Raw_Inventory!F496</f>
        <v>99</v>
      </c>
      <c r="F496">
        <f>Raw_Inventory!G496</f>
        <v>500</v>
      </c>
      <c r="G496">
        <f t="shared" si="21"/>
        <v>93</v>
      </c>
      <c r="H496">
        <f t="shared" si="22"/>
        <v>46500</v>
      </c>
      <c r="I496" t="str">
        <f t="shared" si="23"/>
        <v>OK</v>
      </c>
    </row>
    <row r="497" spans="1:9" x14ac:dyDescent="0.25">
      <c r="A497" t="str">
        <f>Raw_Inventory!A497</f>
        <v>P1496</v>
      </c>
      <c r="B497" t="str">
        <f>Raw_Inventory!B497</f>
        <v>Tablet</v>
      </c>
      <c r="C497" t="str">
        <f>Raw_Inventory!D497</f>
        <v>Lenovo</v>
      </c>
      <c r="D497">
        <f>Raw_Inventory!E497</f>
        <v>126</v>
      </c>
      <c r="E497">
        <f>Raw_Inventory!F497</f>
        <v>24</v>
      </c>
      <c r="F497">
        <f>Raw_Inventory!G497</f>
        <v>800</v>
      </c>
      <c r="G497">
        <f t="shared" si="21"/>
        <v>102</v>
      </c>
      <c r="H497">
        <f t="shared" si="22"/>
        <v>81600</v>
      </c>
      <c r="I497" t="str">
        <f t="shared" si="23"/>
        <v>OK</v>
      </c>
    </row>
    <row r="498" spans="1:9" x14ac:dyDescent="0.25">
      <c r="A498" t="str">
        <f>Raw_Inventory!A498</f>
        <v>P1497</v>
      </c>
      <c r="B498" t="str">
        <f>Raw_Inventory!B498</f>
        <v>Tablet</v>
      </c>
      <c r="C498" t="str">
        <f>Raw_Inventory!D498</f>
        <v>Lenovo</v>
      </c>
      <c r="D498">
        <f>Raw_Inventory!E498</f>
        <v>146</v>
      </c>
      <c r="E498">
        <f>Raw_Inventory!F498</f>
        <v>65</v>
      </c>
      <c r="F498">
        <f>Raw_Inventory!G498</f>
        <v>800</v>
      </c>
      <c r="G498">
        <f t="shared" si="21"/>
        <v>81</v>
      </c>
      <c r="H498">
        <f t="shared" si="22"/>
        <v>64800</v>
      </c>
      <c r="I498" t="str">
        <f t="shared" si="23"/>
        <v>OK</v>
      </c>
    </row>
    <row r="499" spans="1:9" x14ac:dyDescent="0.25">
      <c r="A499" t="str">
        <f>Raw_Inventory!A499</f>
        <v>P1498</v>
      </c>
      <c r="B499" t="str">
        <f>Raw_Inventory!B499</f>
        <v>Monitor</v>
      </c>
      <c r="C499" t="str">
        <f>Raw_Inventory!D499</f>
        <v>Lenovo</v>
      </c>
      <c r="D499">
        <f>Raw_Inventory!E499</f>
        <v>45</v>
      </c>
      <c r="E499">
        <f>Raw_Inventory!F499</f>
        <v>145</v>
      </c>
      <c r="F499">
        <f>Raw_Inventory!G499</f>
        <v>2500</v>
      </c>
      <c r="G499">
        <f t="shared" si="21"/>
        <v>-100</v>
      </c>
      <c r="H499">
        <f t="shared" si="22"/>
        <v>-250000</v>
      </c>
      <c r="I499" t="str">
        <f t="shared" si="23"/>
        <v>Low Stock</v>
      </c>
    </row>
    <row r="500" spans="1:9" x14ac:dyDescent="0.25">
      <c r="A500" t="str">
        <f>Raw_Inventory!A500</f>
        <v>P1499</v>
      </c>
      <c r="B500" t="str">
        <f>Raw_Inventory!B500</f>
        <v>Monitor</v>
      </c>
      <c r="C500" t="str">
        <f>Raw_Inventory!D500</f>
        <v>Logitech</v>
      </c>
      <c r="D500">
        <f>Raw_Inventory!E500</f>
        <v>77</v>
      </c>
      <c r="E500">
        <f>Raw_Inventory!F500</f>
        <v>80</v>
      </c>
      <c r="F500">
        <f>Raw_Inventory!G500</f>
        <v>500</v>
      </c>
      <c r="G500">
        <f t="shared" si="21"/>
        <v>-3</v>
      </c>
      <c r="H500">
        <f t="shared" si="22"/>
        <v>-1500</v>
      </c>
      <c r="I500" t="str">
        <f t="shared" si="23"/>
        <v>Low Stock</v>
      </c>
    </row>
    <row r="501" spans="1:9" x14ac:dyDescent="0.25">
      <c r="A501" t="str">
        <f>Raw_Inventory!A501</f>
        <v>P1500</v>
      </c>
      <c r="B501" t="str">
        <f>Raw_Inventory!B501</f>
        <v>SSD</v>
      </c>
      <c r="C501" t="str">
        <f>Raw_Inventory!D501</f>
        <v>Canon</v>
      </c>
      <c r="D501">
        <f>Raw_Inventory!E501</f>
        <v>86</v>
      </c>
      <c r="E501">
        <f>Raw_Inventory!F501</f>
        <v>39</v>
      </c>
      <c r="F501">
        <f>Raw_Inventory!G501</f>
        <v>8000</v>
      </c>
      <c r="G501">
        <f t="shared" si="21"/>
        <v>47</v>
      </c>
      <c r="H501">
        <f t="shared" si="22"/>
        <v>376000</v>
      </c>
      <c r="I501" t="str">
        <f t="shared" si="23"/>
        <v>OK</v>
      </c>
    </row>
  </sheetData>
  <conditionalFormatting sqref="I1:I1048576">
    <cfRule type="cellIs" dxfId="1" priority="1" operator="equal">
      <formula>"Low Stock"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3FAE9-CA1F-4E1F-94B8-235DDE3B7875}">
  <dimension ref="A1:E501"/>
  <sheetViews>
    <sheetView topLeftCell="A2" workbookViewId="0">
      <selection activeCell="F6" sqref="F6"/>
    </sheetView>
  </sheetViews>
  <sheetFormatPr defaultRowHeight="15" x14ac:dyDescent="0.25"/>
  <cols>
    <col min="1" max="1" width="14.5703125" customWidth="1"/>
    <col min="2" max="2" width="18.28515625" customWidth="1"/>
    <col min="3" max="3" width="20.28515625" customWidth="1"/>
    <col min="4" max="4" width="21.42578125" customWidth="1"/>
    <col min="5" max="5" width="12.85546875" bestFit="1" customWidth="1"/>
  </cols>
  <sheetData>
    <row r="1" spans="1:5" ht="24" customHeight="1" x14ac:dyDescent="0.25">
      <c r="A1" s="3" t="s">
        <v>0</v>
      </c>
      <c r="B1" s="1" t="s">
        <v>815</v>
      </c>
      <c r="C1" s="1" t="s">
        <v>816</v>
      </c>
      <c r="D1" s="1" t="s">
        <v>817</v>
      </c>
      <c r="E1" s="1" t="s">
        <v>818</v>
      </c>
    </row>
    <row r="2" spans="1:5" x14ac:dyDescent="0.25">
      <c r="A2" t="str">
        <f>Raw_Inventory!A2</f>
        <v>P1001</v>
      </c>
      <c r="B2" t="str">
        <f>IF(COUNTIF(Raw_Inventory!A:A,A2)&gt;1,"Duplicate","OK")</f>
        <v>OK</v>
      </c>
      <c r="C2" t="str">
        <f>IF(Raw_Inventory!E2-Raw_Inventory!F2&lt;0,"Error","OK")</f>
        <v>OK</v>
      </c>
      <c r="D2" t="str">
        <f>IF(Raw_Inventory!D2="","Missing","OK")</f>
        <v>OK</v>
      </c>
      <c r="E2" t="str">
        <f>IF(OR(B2="Duplicate",C2="Error",D2="Missing"),"Check Record","Valid")</f>
        <v>Valid</v>
      </c>
    </row>
    <row r="3" spans="1:5" x14ac:dyDescent="0.25">
      <c r="A3" t="str">
        <f>Raw_Inventory!A3</f>
        <v>P1002</v>
      </c>
      <c r="B3" t="str">
        <f>IF(COUNTIF(Raw_Inventory!A:A,A3)&gt;1,"Duplicate","OK")</f>
        <v>OK</v>
      </c>
      <c r="C3" t="str">
        <f>IF(Raw_Inventory!E3-Raw_Inventory!F3&lt;0,"Error","OK")</f>
        <v>Error</v>
      </c>
      <c r="D3" t="str">
        <f>IF(Raw_Inventory!D3="","Missing","OK")</f>
        <v>OK</v>
      </c>
      <c r="E3" t="str">
        <f t="shared" ref="E3:E66" si="0">IF(OR(B3="Duplicate",C3="Error",D3="Missing"),"Check Record","Valid")</f>
        <v>Check Record</v>
      </c>
    </row>
    <row r="4" spans="1:5" x14ac:dyDescent="0.25">
      <c r="A4" t="str">
        <f>Raw_Inventory!A4</f>
        <v>P1003</v>
      </c>
      <c r="B4" t="str">
        <f>IF(COUNTIF(Raw_Inventory!A:A,A4)&gt;1,"Duplicate","OK")</f>
        <v>OK</v>
      </c>
      <c r="C4" t="str">
        <f>IF(Raw_Inventory!E4-Raw_Inventory!F4&lt;0,"Error","OK")</f>
        <v>Error</v>
      </c>
      <c r="D4" t="str">
        <f>IF(Raw_Inventory!D4="","Missing","OK")</f>
        <v>OK</v>
      </c>
      <c r="E4" t="str">
        <f t="shared" si="0"/>
        <v>Check Record</v>
      </c>
    </row>
    <row r="5" spans="1:5" x14ac:dyDescent="0.25">
      <c r="A5" t="str">
        <f>Raw_Inventory!A5</f>
        <v>P1004</v>
      </c>
      <c r="B5" t="str">
        <f>IF(COUNTIF(Raw_Inventory!A:A,A5)&gt;1,"Duplicate","OK")</f>
        <v>OK</v>
      </c>
      <c r="C5" t="str">
        <f>IF(Raw_Inventory!E5-Raw_Inventory!F5&lt;0,"Error","OK")</f>
        <v>Error</v>
      </c>
      <c r="D5" t="str">
        <f>IF(Raw_Inventory!D5="","Missing","OK")</f>
        <v>OK</v>
      </c>
      <c r="E5" t="str">
        <f t="shared" si="0"/>
        <v>Check Record</v>
      </c>
    </row>
    <row r="6" spans="1:5" x14ac:dyDescent="0.25">
      <c r="A6" t="str">
        <f>Raw_Inventory!A6</f>
        <v>P1005</v>
      </c>
      <c r="B6" t="str">
        <f>IF(COUNTIF(Raw_Inventory!A:A,A6)&gt;1,"Duplicate","OK")</f>
        <v>OK</v>
      </c>
      <c r="C6" t="str">
        <f>IF(Raw_Inventory!E6-Raw_Inventory!F6&lt;0,"Error","OK")</f>
        <v>OK</v>
      </c>
      <c r="D6" t="str">
        <f>IF(Raw_Inventory!D6="","Missing","OK")</f>
        <v>OK</v>
      </c>
      <c r="E6" t="str">
        <f t="shared" si="0"/>
        <v>Valid</v>
      </c>
    </row>
    <row r="7" spans="1:5" x14ac:dyDescent="0.25">
      <c r="A7" t="str">
        <f>Raw_Inventory!A7</f>
        <v>P1006</v>
      </c>
      <c r="B7" t="str">
        <f>IF(COUNTIF(Raw_Inventory!A:A,A7)&gt;1,"Duplicate","OK")</f>
        <v>OK</v>
      </c>
      <c r="C7" t="str">
        <f>IF(Raw_Inventory!E7-Raw_Inventory!F7&lt;0,"Error","OK")</f>
        <v>OK</v>
      </c>
      <c r="D7" t="str">
        <f>IF(Raw_Inventory!D7="","Missing","OK")</f>
        <v>OK</v>
      </c>
      <c r="E7" t="str">
        <f t="shared" si="0"/>
        <v>Valid</v>
      </c>
    </row>
    <row r="8" spans="1:5" x14ac:dyDescent="0.25">
      <c r="A8" t="str">
        <f>Raw_Inventory!A8</f>
        <v>P1007</v>
      </c>
      <c r="B8" t="str">
        <f>IF(COUNTIF(Raw_Inventory!A:A,A8)&gt;1,"Duplicate","OK")</f>
        <v>OK</v>
      </c>
      <c r="C8" t="str">
        <f>IF(Raw_Inventory!E8-Raw_Inventory!F8&lt;0,"Error","OK")</f>
        <v>OK</v>
      </c>
      <c r="D8" t="str">
        <f>IF(Raw_Inventory!D8="","Missing","OK")</f>
        <v>OK</v>
      </c>
      <c r="E8" t="str">
        <f t="shared" si="0"/>
        <v>Valid</v>
      </c>
    </row>
    <row r="9" spans="1:5" x14ac:dyDescent="0.25">
      <c r="A9" t="str">
        <f>Raw_Inventory!A9</f>
        <v>P1008</v>
      </c>
      <c r="B9" t="str">
        <f>IF(COUNTIF(Raw_Inventory!A:A,A9)&gt;1,"Duplicate","OK")</f>
        <v>OK</v>
      </c>
      <c r="C9" t="str">
        <f>IF(Raw_Inventory!E9-Raw_Inventory!F9&lt;0,"Error","OK")</f>
        <v>OK</v>
      </c>
      <c r="D9" t="str">
        <f>IF(Raw_Inventory!D9="","Missing","OK")</f>
        <v>OK</v>
      </c>
      <c r="E9" t="str">
        <f t="shared" si="0"/>
        <v>Valid</v>
      </c>
    </row>
    <row r="10" spans="1:5" x14ac:dyDescent="0.25">
      <c r="A10" t="str">
        <f>Raw_Inventory!A10</f>
        <v>P1009</v>
      </c>
      <c r="B10" t="str">
        <f>IF(COUNTIF(Raw_Inventory!A:A,A10)&gt;1,"Duplicate","OK")</f>
        <v>OK</v>
      </c>
      <c r="C10" t="str">
        <f>IF(Raw_Inventory!E10-Raw_Inventory!F10&lt;0,"Error","OK")</f>
        <v>Error</v>
      </c>
      <c r="D10" t="str">
        <f>IF(Raw_Inventory!D10="","Missing","OK")</f>
        <v>OK</v>
      </c>
      <c r="E10" t="str">
        <f t="shared" si="0"/>
        <v>Check Record</v>
      </c>
    </row>
    <row r="11" spans="1:5" x14ac:dyDescent="0.25">
      <c r="A11" t="str">
        <f>Raw_Inventory!A11</f>
        <v>P1010</v>
      </c>
      <c r="B11" t="str">
        <f>IF(COUNTIF(Raw_Inventory!A:A,A11)&gt;1,"Duplicate","OK")</f>
        <v>OK</v>
      </c>
      <c r="C11" t="str">
        <f>IF(Raw_Inventory!E11-Raw_Inventory!F11&lt;0,"Error","OK")</f>
        <v>OK</v>
      </c>
      <c r="D11" t="str">
        <f>IF(Raw_Inventory!D11="","Missing","OK")</f>
        <v>OK</v>
      </c>
      <c r="E11" t="str">
        <f t="shared" si="0"/>
        <v>Valid</v>
      </c>
    </row>
    <row r="12" spans="1:5" x14ac:dyDescent="0.25">
      <c r="A12" t="str">
        <f>Raw_Inventory!A12</f>
        <v>P1011</v>
      </c>
      <c r="B12" t="str">
        <f>IF(COUNTIF(Raw_Inventory!A:A,A12)&gt;1,"Duplicate","OK")</f>
        <v>OK</v>
      </c>
      <c r="C12" t="str">
        <f>IF(Raw_Inventory!E12-Raw_Inventory!F12&lt;0,"Error","OK")</f>
        <v>OK</v>
      </c>
      <c r="D12" t="str">
        <f>IF(Raw_Inventory!D12="","Missing","OK")</f>
        <v>OK</v>
      </c>
      <c r="E12" t="str">
        <f t="shared" si="0"/>
        <v>Valid</v>
      </c>
    </row>
    <row r="13" spans="1:5" x14ac:dyDescent="0.25">
      <c r="A13" t="str">
        <f>Raw_Inventory!A13</f>
        <v>P1012</v>
      </c>
      <c r="B13" t="str">
        <f>IF(COUNTIF(Raw_Inventory!A:A,A13)&gt;1,"Duplicate","OK")</f>
        <v>OK</v>
      </c>
      <c r="C13" t="str">
        <f>IF(Raw_Inventory!E13-Raw_Inventory!F13&lt;0,"Error","OK")</f>
        <v>OK</v>
      </c>
      <c r="D13" t="str">
        <f>IF(Raw_Inventory!D13="","Missing","OK")</f>
        <v>OK</v>
      </c>
      <c r="E13" t="str">
        <f t="shared" si="0"/>
        <v>Valid</v>
      </c>
    </row>
    <row r="14" spans="1:5" x14ac:dyDescent="0.25">
      <c r="A14" t="str">
        <f>Raw_Inventory!A14</f>
        <v>P1013</v>
      </c>
      <c r="B14" t="str">
        <f>IF(COUNTIF(Raw_Inventory!A:A,A14)&gt;1,"Duplicate","OK")</f>
        <v>OK</v>
      </c>
      <c r="C14" t="str">
        <f>IF(Raw_Inventory!E14-Raw_Inventory!F14&lt;0,"Error","OK")</f>
        <v>OK</v>
      </c>
      <c r="D14" t="str">
        <f>IF(Raw_Inventory!D14="","Missing","OK")</f>
        <v>OK</v>
      </c>
      <c r="E14" t="str">
        <f t="shared" si="0"/>
        <v>Valid</v>
      </c>
    </row>
    <row r="15" spans="1:5" x14ac:dyDescent="0.25">
      <c r="A15" t="str">
        <f>Raw_Inventory!A15</f>
        <v>P1014</v>
      </c>
      <c r="B15" t="str">
        <f>IF(COUNTIF(Raw_Inventory!A:A,A15)&gt;1,"Duplicate","OK")</f>
        <v>OK</v>
      </c>
      <c r="C15" t="str">
        <f>IF(Raw_Inventory!E15-Raw_Inventory!F15&lt;0,"Error","OK")</f>
        <v>OK</v>
      </c>
      <c r="D15" t="str">
        <f>IF(Raw_Inventory!D15="","Missing","OK")</f>
        <v>OK</v>
      </c>
      <c r="E15" t="str">
        <f t="shared" si="0"/>
        <v>Valid</v>
      </c>
    </row>
    <row r="16" spans="1:5" x14ac:dyDescent="0.25">
      <c r="A16" t="str">
        <f>Raw_Inventory!A16</f>
        <v>P1015</v>
      </c>
      <c r="B16" t="str">
        <f>IF(COUNTIF(Raw_Inventory!A:A,A16)&gt;1,"Duplicate","OK")</f>
        <v>OK</v>
      </c>
      <c r="C16" t="str">
        <f>IF(Raw_Inventory!E16-Raw_Inventory!F16&lt;0,"Error","OK")</f>
        <v>OK</v>
      </c>
      <c r="D16" t="str">
        <f>IF(Raw_Inventory!D16="","Missing","OK")</f>
        <v>OK</v>
      </c>
      <c r="E16" t="str">
        <f t="shared" si="0"/>
        <v>Valid</v>
      </c>
    </row>
    <row r="17" spans="1:5" x14ac:dyDescent="0.25">
      <c r="A17" t="str">
        <f>Raw_Inventory!A17</f>
        <v>P1016</v>
      </c>
      <c r="B17" t="str">
        <f>IF(COUNTIF(Raw_Inventory!A:A,A17)&gt;1,"Duplicate","OK")</f>
        <v>OK</v>
      </c>
      <c r="C17" t="str">
        <f>IF(Raw_Inventory!E17-Raw_Inventory!F17&lt;0,"Error","OK")</f>
        <v>Error</v>
      </c>
      <c r="D17" t="str">
        <f>IF(Raw_Inventory!D17="","Missing","OK")</f>
        <v>OK</v>
      </c>
      <c r="E17" t="str">
        <f t="shared" si="0"/>
        <v>Check Record</v>
      </c>
    </row>
    <row r="18" spans="1:5" x14ac:dyDescent="0.25">
      <c r="A18" t="str">
        <f>Raw_Inventory!A18</f>
        <v>P1017</v>
      </c>
      <c r="B18" t="str">
        <f>IF(COUNTIF(Raw_Inventory!A:A,A18)&gt;1,"Duplicate","OK")</f>
        <v>OK</v>
      </c>
      <c r="C18" t="str">
        <f>IF(Raw_Inventory!E18-Raw_Inventory!F18&lt;0,"Error","OK")</f>
        <v>OK</v>
      </c>
      <c r="D18" t="str">
        <f>IF(Raw_Inventory!D18="","Missing","OK")</f>
        <v>OK</v>
      </c>
      <c r="E18" t="str">
        <f t="shared" si="0"/>
        <v>Valid</v>
      </c>
    </row>
    <row r="19" spans="1:5" x14ac:dyDescent="0.25">
      <c r="A19" t="str">
        <f>Raw_Inventory!A19</f>
        <v>P1018</v>
      </c>
      <c r="B19" t="str">
        <f>IF(COUNTIF(Raw_Inventory!A:A,A19)&gt;1,"Duplicate","OK")</f>
        <v>OK</v>
      </c>
      <c r="C19" t="str">
        <f>IF(Raw_Inventory!E19-Raw_Inventory!F19&lt;0,"Error","OK")</f>
        <v>Error</v>
      </c>
      <c r="D19" t="str">
        <f>IF(Raw_Inventory!D19="","Missing","OK")</f>
        <v>OK</v>
      </c>
      <c r="E19" t="str">
        <f t="shared" si="0"/>
        <v>Check Record</v>
      </c>
    </row>
    <row r="20" spans="1:5" x14ac:dyDescent="0.25">
      <c r="A20" t="str">
        <f>Raw_Inventory!A20</f>
        <v>P1019</v>
      </c>
      <c r="B20" t="str">
        <f>IF(COUNTIF(Raw_Inventory!A:A,A20)&gt;1,"Duplicate","OK")</f>
        <v>OK</v>
      </c>
      <c r="C20" t="str">
        <f>IF(Raw_Inventory!E20-Raw_Inventory!F20&lt;0,"Error","OK")</f>
        <v>OK</v>
      </c>
      <c r="D20" t="str">
        <f>IF(Raw_Inventory!D20="","Missing","OK")</f>
        <v>OK</v>
      </c>
      <c r="E20" t="str">
        <f t="shared" si="0"/>
        <v>Valid</v>
      </c>
    </row>
    <row r="21" spans="1:5" x14ac:dyDescent="0.25">
      <c r="A21" t="str">
        <f>Raw_Inventory!A21</f>
        <v>P1020</v>
      </c>
      <c r="B21" t="str">
        <f>IF(COUNTIF(Raw_Inventory!A:A,A21)&gt;1,"Duplicate","OK")</f>
        <v>OK</v>
      </c>
      <c r="C21" t="str">
        <f>IF(Raw_Inventory!E21-Raw_Inventory!F21&lt;0,"Error","OK")</f>
        <v>OK</v>
      </c>
      <c r="D21" t="str">
        <f>IF(Raw_Inventory!D21="","Missing","OK")</f>
        <v>OK</v>
      </c>
      <c r="E21" t="str">
        <f t="shared" si="0"/>
        <v>Valid</v>
      </c>
    </row>
    <row r="22" spans="1:5" x14ac:dyDescent="0.25">
      <c r="A22" t="str">
        <f>Raw_Inventory!A22</f>
        <v>P1021</v>
      </c>
      <c r="B22" t="str">
        <f>IF(COUNTIF(Raw_Inventory!A:A,A22)&gt;1,"Duplicate","OK")</f>
        <v>OK</v>
      </c>
      <c r="C22" t="str">
        <f>IF(Raw_Inventory!E22-Raw_Inventory!F22&lt;0,"Error","OK")</f>
        <v>OK</v>
      </c>
      <c r="D22" t="str">
        <f>IF(Raw_Inventory!D22="","Missing","OK")</f>
        <v>OK</v>
      </c>
      <c r="E22" t="str">
        <f t="shared" si="0"/>
        <v>Valid</v>
      </c>
    </row>
    <row r="23" spans="1:5" x14ac:dyDescent="0.25">
      <c r="A23" t="str">
        <f>Raw_Inventory!A23</f>
        <v>P1022</v>
      </c>
      <c r="B23" t="str">
        <f>IF(COUNTIF(Raw_Inventory!A:A,A23)&gt;1,"Duplicate","OK")</f>
        <v>OK</v>
      </c>
      <c r="C23" t="str">
        <f>IF(Raw_Inventory!E23-Raw_Inventory!F23&lt;0,"Error","OK")</f>
        <v>Error</v>
      </c>
      <c r="D23" t="str">
        <f>IF(Raw_Inventory!D23="","Missing","OK")</f>
        <v>OK</v>
      </c>
      <c r="E23" t="str">
        <f t="shared" si="0"/>
        <v>Check Record</v>
      </c>
    </row>
    <row r="24" spans="1:5" x14ac:dyDescent="0.25">
      <c r="A24" t="str">
        <f>Raw_Inventory!A24</f>
        <v>P1023</v>
      </c>
      <c r="B24" t="str">
        <f>IF(COUNTIF(Raw_Inventory!A:A,A24)&gt;1,"Duplicate","OK")</f>
        <v>OK</v>
      </c>
      <c r="C24" t="str">
        <f>IF(Raw_Inventory!E24-Raw_Inventory!F24&lt;0,"Error","OK")</f>
        <v>OK</v>
      </c>
      <c r="D24" t="str">
        <f>IF(Raw_Inventory!D24="","Missing","OK")</f>
        <v>OK</v>
      </c>
      <c r="E24" t="str">
        <f t="shared" si="0"/>
        <v>Valid</v>
      </c>
    </row>
    <row r="25" spans="1:5" x14ac:dyDescent="0.25">
      <c r="A25" t="str">
        <f>Raw_Inventory!A25</f>
        <v>P1024</v>
      </c>
      <c r="B25" t="str">
        <f>IF(COUNTIF(Raw_Inventory!A:A,A25)&gt;1,"Duplicate","OK")</f>
        <v>OK</v>
      </c>
      <c r="C25" t="str">
        <f>IF(Raw_Inventory!E25-Raw_Inventory!F25&lt;0,"Error","OK")</f>
        <v>Error</v>
      </c>
      <c r="D25" t="str">
        <f>IF(Raw_Inventory!D25="","Missing","OK")</f>
        <v>OK</v>
      </c>
      <c r="E25" t="str">
        <f t="shared" si="0"/>
        <v>Check Record</v>
      </c>
    </row>
    <row r="26" spans="1:5" x14ac:dyDescent="0.25">
      <c r="A26" t="str">
        <f>Raw_Inventory!A26</f>
        <v>P1025</v>
      </c>
      <c r="B26" t="str">
        <f>IF(COUNTIF(Raw_Inventory!A:A,A26)&gt;1,"Duplicate","OK")</f>
        <v>OK</v>
      </c>
      <c r="C26" t="str">
        <f>IF(Raw_Inventory!E26-Raw_Inventory!F26&lt;0,"Error","OK")</f>
        <v>Error</v>
      </c>
      <c r="D26" t="str">
        <f>IF(Raw_Inventory!D26="","Missing","OK")</f>
        <v>OK</v>
      </c>
      <c r="E26" t="str">
        <f t="shared" si="0"/>
        <v>Check Record</v>
      </c>
    </row>
    <row r="27" spans="1:5" x14ac:dyDescent="0.25">
      <c r="A27" t="str">
        <f>Raw_Inventory!A27</f>
        <v>P1026</v>
      </c>
      <c r="B27" t="str">
        <f>IF(COUNTIF(Raw_Inventory!A:A,A27)&gt;1,"Duplicate","OK")</f>
        <v>OK</v>
      </c>
      <c r="C27" t="str">
        <f>IF(Raw_Inventory!E27-Raw_Inventory!F27&lt;0,"Error","OK")</f>
        <v>OK</v>
      </c>
      <c r="D27" t="str">
        <f>IF(Raw_Inventory!D27="","Missing","OK")</f>
        <v>OK</v>
      </c>
      <c r="E27" t="str">
        <f t="shared" si="0"/>
        <v>Valid</v>
      </c>
    </row>
    <row r="28" spans="1:5" x14ac:dyDescent="0.25">
      <c r="A28" t="str">
        <f>Raw_Inventory!A28</f>
        <v>P1027</v>
      </c>
      <c r="B28" t="str">
        <f>IF(COUNTIF(Raw_Inventory!A:A,A28)&gt;1,"Duplicate","OK")</f>
        <v>OK</v>
      </c>
      <c r="C28" t="str">
        <f>IF(Raw_Inventory!E28-Raw_Inventory!F28&lt;0,"Error","OK")</f>
        <v>OK</v>
      </c>
      <c r="D28" t="str">
        <f>IF(Raw_Inventory!D28="","Missing","OK")</f>
        <v>OK</v>
      </c>
      <c r="E28" t="str">
        <f t="shared" si="0"/>
        <v>Valid</v>
      </c>
    </row>
    <row r="29" spans="1:5" x14ac:dyDescent="0.25">
      <c r="A29" t="str">
        <f>Raw_Inventory!A29</f>
        <v>P1028</v>
      </c>
      <c r="B29" t="str">
        <f>IF(COUNTIF(Raw_Inventory!A:A,A29)&gt;1,"Duplicate","OK")</f>
        <v>OK</v>
      </c>
      <c r="C29" t="str">
        <f>IF(Raw_Inventory!E29-Raw_Inventory!F29&lt;0,"Error","OK")</f>
        <v>OK</v>
      </c>
      <c r="D29" t="str">
        <f>IF(Raw_Inventory!D29="","Missing","OK")</f>
        <v>OK</v>
      </c>
      <c r="E29" t="str">
        <f t="shared" si="0"/>
        <v>Valid</v>
      </c>
    </row>
    <row r="30" spans="1:5" x14ac:dyDescent="0.25">
      <c r="A30" t="str">
        <f>Raw_Inventory!A30</f>
        <v>P1029</v>
      </c>
      <c r="B30" t="str">
        <f>IF(COUNTIF(Raw_Inventory!A:A,A30)&gt;1,"Duplicate","OK")</f>
        <v>OK</v>
      </c>
      <c r="C30" t="str">
        <f>IF(Raw_Inventory!E30-Raw_Inventory!F30&lt;0,"Error","OK")</f>
        <v>OK</v>
      </c>
      <c r="D30" t="str">
        <f>IF(Raw_Inventory!D30="","Missing","OK")</f>
        <v>OK</v>
      </c>
      <c r="E30" t="str">
        <f t="shared" si="0"/>
        <v>Valid</v>
      </c>
    </row>
    <row r="31" spans="1:5" x14ac:dyDescent="0.25">
      <c r="A31" t="str">
        <f>Raw_Inventory!A31</f>
        <v>P1030</v>
      </c>
      <c r="B31" t="str">
        <f>IF(COUNTIF(Raw_Inventory!A:A,A31)&gt;1,"Duplicate","OK")</f>
        <v>OK</v>
      </c>
      <c r="C31" t="str">
        <f>IF(Raw_Inventory!E31-Raw_Inventory!F31&lt;0,"Error","OK")</f>
        <v>OK</v>
      </c>
      <c r="D31" t="str">
        <f>IF(Raw_Inventory!D31="","Missing","OK")</f>
        <v>OK</v>
      </c>
      <c r="E31" t="str">
        <f t="shared" si="0"/>
        <v>Valid</v>
      </c>
    </row>
    <row r="32" spans="1:5" x14ac:dyDescent="0.25">
      <c r="A32" t="str">
        <f>Raw_Inventory!A32</f>
        <v>P1031</v>
      </c>
      <c r="B32" t="str">
        <f>IF(COUNTIF(Raw_Inventory!A:A,A32)&gt;1,"Duplicate","OK")</f>
        <v>OK</v>
      </c>
      <c r="C32" t="str">
        <f>IF(Raw_Inventory!E32-Raw_Inventory!F32&lt;0,"Error","OK")</f>
        <v>OK</v>
      </c>
      <c r="D32" t="str">
        <f>IF(Raw_Inventory!D32="","Missing","OK")</f>
        <v>OK</v>
      </c>
      <c r="E32" t="str">
        <f t="shared" si="0"/>
        <v>Valid</v>
      </c>
    </row>
    <row r="33" spans="1:5" x14ac:dyDescent="0.25">
      <c r="A33" t="str">
        <f>Raw_Inventory!A33</f>
        <v>P1032</v>
      </c>
      <c r="B33" t="str">
        <f>IF(COUNTIF(Raw_Inventory!A:A,A33)&gt;1,"Duplicate","OK")</f>
        <v>OK</v>
      </c>
      <c r="C33" t="str">
        <f>IF(Raw_Inventory!E33-Raw_Inventory!F33&lt;0,"Error","OK")</f>
        <v>Error</v>
      </c>
      <c r="D33" t="str">
        <f>IF(Raw_Inventory!D33="","Missing","OK")</f>
        <v>OK</v>
      </c>
      <c r="E33" t="str">
        <f t="shared" si="0"/>
        <v>Check Record</v>
      </c>
    </row>
    <row r="34" spans="1:5" x14ac:dyDescent="0.25">
      <c r="A34" t="str">
        <f>Raw_Inventory!A34</f>
        <v>P1033</v>
      </c>
      <c r="B34" t="str">
        <f>IF(COUNTIF(Raw_Inventory!A:A,A34)&gt;1,"Duplicate","OK")</f>
        <v>OK</v>
      </c>
      <c r="C34" t="str">
        <f>IF(Raw_Inventory!E34-Raw_Inventory!F34&lt;0,"Error","OK")</f>
        <v>OK</v>
      </c>
      <c r="D34" t="str">
        <f>IF(Raw_Inventory!D34="","Missing","OK")</f>
        <v>OK</v>
      </c>
      <c r="E34" t="str">
        <f t="shared" si="0"/>
        <v>Valid</v>
      </c>
    </row>
    <row r="35" spans="1:5" x14ac:dyDescent="0.25">
      <c r="A35" t="str">
        <f>Raw_Inventory!A35</f>
        <v>P1034</v>
      </c>
      <c r="B35" t="str">
        <f>IF(COUNTIF(Raw_Inventory!A:A,A35)&gt;1,"Duplicate","OK")</f>
        <v>OK</v>
      </c>
      <c r="C35" t="str">
        <f>IF(Raw_Inventory!E35-Raw_Inventory!F35&lt;0,"Error","OK")</f>
        <v>OK</v>
      </c>
      <c r="D35" t="str">
        <f>IF(Raw_Inventory!D35="","Missing","OK")</f>
        <v>OK</v>
      </c>
      <c r="E35" t="str">
        <f t="shared" si="0"/>
        <v>Valid</v>
      </c>
    </row>
    <row r="36" spans="1:5" x14ac:dyDescent="0.25">
      <c r="A36" t="str">
        <f>Raw_Inventory!A36</f>
        <v>P1035</v>
      </c>
      <c r="B36" t="str">
        <f>IF(COUNTIF(Raw_Inventory!A:A,A36)&gt;1,"Duplicate","OK")</f>
        <v>OK</v>
      </c>
      <c r="C36" t="str">
        <f>IF(Raw_Inventory!E36-Raw_Inventory!F36&lt;0,"Error","OK")</f>
        <v>Error</v>
      </c>
      <c r="D36" t="str">
        <f>IF(Raw_Inventory!D36="","Missing","OK")</f>
        <v>OK</v>
      </c>
      <c r="E36" t="str">
        <f t="shared" si="0"/>
        <v>Check Record</v>
      </c>
    </row>
    <row r="37" spans="1:5" x14ac:dyDescent="0.25">
      <c r="A37" t="str">
        <f>Raw_Inventory!A37</f>
        <v>P1036</v>
      </c>
      <c r="B37" t="str">
        <f>IF(COUNTIF(Raw_Inventory!A:A,A37)&gt;1,"Duplicate","OK")</f>
        <v>OK</v>
      </c>
      <c r="C37" t="str">
        <f>IF(Raw_Inventory!E37-Raw_Inventory!F37&lt;0,"Error","OK")</f>
        <v>Error</v>
      </c>
      <c r="D37" t="str">
        <f>IF(Raw_Inventory!D37="","Missing","OK")</f>
        <v>OK</v>
      </c>
      <c r="E37" t="str">
        <f t="shared" si="0"/>
        <v>Check Record</v>
      </c>
    </row>
    <row r="38" spans="1:5" x14ac:dyDescent="0.25">
      <c r="A38" t="str">
        <f>Raw_Inventory!A38</f>
        <v>P1037</v>
      </c>
      <c r="B38" t="str">
        <f>IF(COUNTIF(Raw_Inventory!A:A,A38)&gt;1,"Duplicate","OK")</f>
        <v>OK</v>
      </c>
      <c r="C38" t="str">
        <f>IF(Raw_Inventory!E38-Raw_Inventory!F38&lt;0,"Error","OK")</f>
        <v>Error</v>
      </c>
      <c r="D38" t="str">
        <f>IF(Raw_Inventory!D38="","Missing","OK")</f>
        <v>OK</v>
      </c>
      <c r="E38" t="str">
        <f t="shared" si="0"/>
        <v>Check Record</v>
      </c>
    </row>
    <row r="39" spans="1:5" x14ac:dyDescent="0.25">
      <c r="A39" t="str">
        <f>Raw_Inventory!A39</f>
        <v>P1038</v>
      </c>
      <c r="B39" t="str">
        <f>IF(COUNTIF(Raw_Inventory!A:A,A39)&gt;1,"Duplicate","OK")</f>
        <v>OK</v>
      </c>
      <c r="C39" t="str">
        <f>IF(Raw_Inventory!E39-Raw_Inventory!F39&lt;0,"Error","OK")</f>
        <v>OK</v>
      </c>
      <c r="D39" t="str">
        <f>IF(Raw_Inventory!D39="","Missing","OK")</f>
        <v>OK</v>
      </c>
      <c r="E39" t="str">
        <f t="shared" si="0"/>
        <v>Valid</v>
      </c>
    </row>
    <row r="40" spans="1:5" x14ac:dyDescent="0.25">
      <c r="A40" t="str">
        <f>Raw_Inventory!A40</f>
        <v>P1039</v>
      </c>
      <c r="B40" t="str">
        <f>IF(COUNTIF(Raw_Inventory!A:A,A40)&gt;1,"Duplicate","OK")</f>
        <v>OK</v>
      </c>
      <c r="C40" t="str">
        <f>IF(Raw_Inventory!E40-Raw_Inventory!F40&lt;0,"Error","OK")</f>
        <v>OK</v>
      </c>
      <c r="D40" t="str">
        <f>IF(Raw_Inventory!D40="","Missing","OK")</f>
        <v>OK</v>
      </c>
      <c r="E40" t="str">
        <f t="shared" si="0"/>
        <v>Valid</v>
      </c>
    </row>
    <row r="41" spans="1:5" x14ac:dyDescent="0.25">
      <c r="A41" t="str">
        <f>Raw_Inventory!A41</f>
        <v>P1040</v>
      </c>
      <c r="B41" t="str">
        <f>IF(COUNTIF(Raw_Inventory!A:A,A41)&gt;1,"Duplicate","OK")</f>
        <v>OK</v>
      </c>
      <c r="C41" t="str">
        <f>IF(Raw_Inventory!E41-Raw_Inventory!F41&lt;0,"Error","OK")</f>
        <v>OK</v>
      </c>
      <c r="D41" t="str">
        <f>IF(Raw_Inventory!D41="","Missing","OK")</f>
        <v>OK</v>
      </c>
      <c r="E41" t="str">
        <f t="shared" si="0"/>
        <v>Valid</v>
      </c>
    </row>
    <row r="42" spans="1:5" x14ac:dyDescent="0.25">
      <c r="A42" t="str">
        <f>Raw_Inventory!A42</f>
        <v>P1041</v>
      </c>
      <c r="B42" t="str">
        <f>IF(COUNTIF(Raw_Inventory!A:A,A42)&gt;1,"Duplicate","OK")</f>
        <v>OK</v>
      </c>
      <c r="C42" t="str">
        <f>IF(Raw_Inventory!E42-Raw_Inventory!F42&lt;0,"Error","OK")</f>
        <v>OK</v>
      </c>
      <c r="D42" t="str">
        <f>IF(Raw_Inventory!D42="","Missing","OK")</f>
        <v>OK</v>
      </c>
      <c r="E42" t="str">
        <f t="shared" si="0"/>
        <v>Valid</v>
      </c>
    </row>
    <row r="43" spans="1:5" x14ac:dyDescent="0.25">
      <c r="A43" t="str">
        <f>Raw_Inventory!A43</f>
        <v>P1042</v>
      </c>
      <c r="B43" t="str">
        <f>IF(COUNTIF(Raw_Inventory!A:A,A43)&gt;1,"Duplicate","OK")</f>
        <v>OK</v>
      </c>
      <c r="C43" t="str">
        <f>IF(Raw_Inventory!E43-Raw_Inventory!F43&lt;0,"Error","OK")</f>
        <v>OK</v>
      </c>
      <c r="D43" t="str">
        <f>IF(Raw_Inventory!D43="","Missing","OK")</f>
        <v>OK</v>
      </c>
      <c r="E43" t="str">
        <f t="shared" si="0"/>
        <v>Valid</v>
      </c>
    </row>
    <row r="44" spans="1:5" x14ac:dyDescent="0.25">
      <c r="A44" t="str">
        <f>Raw_Inventory!A44</f>
        <v>P1043</v>
      </c>
      <c r="B44" t="str">
        <f>IF(COUNTIF(Raw_Inventory!A:A,A44)&gt;1,"Duplicate","OK")</f>
        <v>OK</v>
      </c>
      <c r="C44" t="str">
        <f>IF(Raw_Inventory!E44-Raw_Inventory!F44&lt;0,"Error","OK")</f>
        <v>Error</v>
      </c>
      <c r="D44" t="str">
        <f>IF(Raw_Inventory!D44="","Missing","OK")</f>
        <v>OK</v>
      </c>
      <c r="E44" t="str">
        <f t="shared" si="0"/>
        <v>Check Record</v>
      </c>
    </row>
    <row r="45" spans="1:5" x14ac:dyDescent="0.25">
      <c r="A45" t="str">
        <f>Raw_Inventory!A45</f>
        <v>P1044</v>
      </c>
      <c r="B45" t="str">
        <f>IF(COUNTIF(Raw_Inventory!A:A,A45)&gt;1,"Duplicate","OK")</f>
        <v>OK</v>
      </c>
      <c r="C45" t="str">
        <f>IF(Raw_Inventory!E45-Raw_Inventory!F45&lt;0,"Error","OK")</f>
        <v>OK</v>
      </c>
      <c r="D45" t="str">
        <f>IF(Raw_Inventory!D45="","Missing","OK")</f>
        <v>OK</v>
      </c>
      <c r="E45" t="str">
        <f t="shared" si="0"/>
        <v>Valid</v>
      </c>
    </row>
    <row r="46" spans="1:5" x14ac:dyDescent="0.25">
      <c r="A46" t="str">
        <f>Raw_Inventory!A46</f>
        <v>P1045</v>
      </c>
      <c r="B46" t="str">
        <f>IF(COUNTIF(Raw_Inventory!A:A,A46)&gt;1,"Duplicate","OK")</f>
        <v>OK</v>
      </c>
      <c r="C46" t="str">
        <f>IF(Raw_Inventory!E46-Raw_Inventory!F46&lt;0,"Error","OK")</f>
        <v>Error</v>
      </c>
      <c r="D46" t="str">
        <f>IF(Raw_Inventory!D46="","Missing","OK")</f>
        <v>OK</v>
      </c>
      <c r="E46" t="str">
        <f t="shared" si="0"/>
        <v>Check Record</v>
      </c>
    </row>
    <row r="47" spans="1:5" x14ac:dyDescent="0.25">
      <c r="A47" t="str">
        <f>Raw_Inventory!A47</f>
        <v>P1046</v>
      </c>
      <c r="B47" t="str">
        <f>IF(COUNTIF(Raw_Inventory!A:A,A47)&gt;1,"Duplicate","OK")</f>
        <v>OK</v>
      </c>
      <c r="C47" t="str">
        <f>IF(Raw_Inventory!E47-Raw_Inventory!F47&lt;0,"Error","OK")</f>
        <v>Error</v>
      </c>
      <c r="D47" t="str">
        <f>IF(Raw_Inventory!D47="","Missing","OK")</f>
        <v>OK</v>
      </c>
      <c r="E47" t="str">
        <f t="shared" si="0"/>
        <v>Check Record</v>
      </c>
    </row>
    <row r="48" spans="1:5" x14ac:dyDescent="0.25">
      <c r="A48" t="str">
        <f>Raw_Inventory!A48</f>
        <v>P1047</v>
      </c>
      <c r="B48" t="str">
        <f>IF(COUNTIF(Raw_Inventory!A:A,A48)&gt;1,"Duplicate","OK")</f>
        <v>OK</v>
      </c>
      <c r="C48" t="str">
        <f>IF(Raw_Inventory!E48-Raw_Inventory!F48&lt;0,"Error","OK")</f>
        <v>Error</v>
      </c>
      <c r="D48" t="str">
        <f>IF(Raw_Inventory!D48="","Missing","OK")</f>
        <v>OK</v>
      </c>
      <c r="E48" t="str">
        <f t="shared" si="0"/>
        <v>Check Record</v>
      </c>
    </row>
    <row r="49" spans="1:5" x14ac:dyDescent="0.25">
      <c r="A49" t="str">
        <f>Raw_Inventory!A49</f>
        <v>P1048</v>
      </c>
      <c r="B49" t="str">
        <f>IF(COUNTIF(Raw_Inventory!A:A,A49)&gt;1,"Duplicate","OK")</f>
        <v>OK</v>
      </c>
      <c r="C49" t="str">
        <f>IF(Raw_Inventory!E49-Raw_Inventory!F49&lt;0,"Error","OK")</f>
        <v>OK</v>
      </c>
      <c r="D49" t="str">
        <f>IF(Raw_Inventory!D49="","Missing","OK")</f>
        <v>OK</v>
      </c>
      <c r="E49" t="str">
        <f t="shared" si="0"/>
        <v>Valid</v>
      </c>
    </row>
    <row r="50" spans="1:5" x14ac:dyDescent="0.25">
      <c r="A50" t="str">
        <f>Raw_Inventory!A50</f>
        <v>P1049</v>
      </c>
      <c r="B50" t="str">
        <f>IF(COUNTIF(Raw_Inventory!A:A,A50)&gt;1,"Duplicate","OK")</f>
        <v>OK</v>
      </c>
      <c r="C50" t="str">
        <f>IF(Raw_Inventory!E50-Raw_Inventory!F50&lt;0,"Error","OK")</f>
        <v>OK</v>
      </c>
      <c r="D50" t="str">
        <f>IF(Raw_Inventory!D50="","Missing","OK")</f>
        <v>OK</v>
      </c>
      <c r="E50" t="str">
        <f t="shared" si="0"/>
        <v>Valid</v>
      </c>
    </row>
    <row r="51" spans="1:5" x14ac:dyDescent="0.25">
      <c r="A51" t="str">
        <f>Raw_Inventory!A51</f>
        <v>P1050</v>
      </c>
      <c r="B51" t="str">
        <f>IF(COUNTIF(Raw_Inventory!A:A,A51)&gt;1,"Duplicate","OK")</f>
        <v>OK</v>
      </c>
      <c r="C51" t="str">
        <f>IF(Raw_Inventory!E51-Raw_Inventory!F51&lt;0,"Error","OK")</f>
        <v>OK</v>
      </c>
      <c r="D51" t="str">
        <f>IF(Raw_Inventory!D51="","Missing","OK")</f>
        <v>OK</v>
      </c>
      <c r="E51" t="str">
        <f t="shared" si="0"/>
        <v>Valid</v>
      </c>
    </row>
    <row r="52" spans="1:5" x14ac:dyDescent="0.25">
      <c r="A52" t="str">
        <f>Raw_Inventory!A52</f>
        <v>P1051</v>
      </c>
      <c r="B52" t="str">
        <f>IF(COUNTIF(Raw_Inventory!A:A,A52)&gt;1,"Duplicate","OK")</f>
        <v>OK</v>
      </c>
      <c r="C52" t="str">
        <f>IF(Raw_Inventory!E52-Raw_Inventory!F52&lt;0,"Error","OK")</f>
        <v>OK</v>
      </c>
      <c r="D52" t="str">
        <f>IF(Raw_Inventory!D52="","Missing","OK")</f>
        <v>OK</v>
      </c>
      <c r="E52" t="str">
        <f t="shared" si="0"/>
        <v>Valid</v>
      </c>
    </row>
    <row r="53" spans="1:5" x14ac:dyDescent="0.25">
      <c r="A53" t="str">
        <f>Raw_Inventory!A53</f>
        <v>P1052</v>
      </c>
      <c r="B53" t="str">
        <f>IF(COUNTIF(Raw_Inventory!A:A,A53)&gt;1,"Duplicate","OK")</f>
        <v>OK</v>
      </c>
      <c r="C53" t="str">
        <f>IF(Raw_Inventory!E53-Raw_Inventory!F53&lt;0,"Error","OK")</f>
        <v>Error</v>
      </c>
      <c r="D53" t="str">
        <f>IF(Raw_Inventory!D53="","Missing","OK")</f>
        <v>OK</v>
      </c>
      <c r="E53" t="str">
        <f t="shared" si="0"/>
        <v>Check Record</v>
      </c>
    </row>
    <row r="54" spans="1:5" x14ac:dyDescent="0.25">
      <c r="A54" t="str">
        <f>Raw_Inventory!A54</f>
        <v>P1053</v>
      </c>
      <c r="B54" t="str">
        <f>IF(COUNTIF(Raw_Inventory!A:A,A54)&gt;1,"Duplicate","OK")</f>
        <v>OK</v>
      </c>
      <c r="C54" t="str">
        <f>IF(Raw_Inventory!E54-Raw_Inventory!F54&lt;0,"Error","OK")</f>
        <v>Error</v>
      </c>
      <c r="D54" t="str">
        <f>IF(Raw_Inventory!D54="","Missing","OK")</f>
        <v>OK</v>
      </c>
      <c r="E54" t="str">
        <f t="shared" si="0"/>
        <v>Check Record</v>
      </c>
    </row>
    <row r="55" spans="1:5" x14ac:dyDescent="0.25">
      <c r="A55" t="str">
        <f>Raw_Inventory!A55</f>
        <v>P1054</v>
      </c>
      <c r="B55" t="str">
        <f>IF(COUNTIF(Raw_Inventory!A:A,A55)&gt;1,"Duplicate","OK")</f>
        <v>OK</v>
      </c>
      <c r="C55" t="str">
        <f>IF(Raw_Inventory!E55-Raw_Inventory!F55&lt;0,"Error","OK")</f>
        <v>Error</v>
      </c>
      <c r="D55" t="str">
        <f>IF(Raw_Inventory!D55="","Missing","OK")</f>
        <v>OK</v>
      </c>
      <c r="E55" t="str">
        <f t="shared" si="0"/>
        <v>Check Record</v>
      </c>
    </row>
    <row r="56" spans="1:5" x14ac:dyDescent="0.25">
      <c r="A56" t="str">
        <f>Raw_Inventory!A56</f>
        <v>P1055</v>
      </c>
      <c r="B56" t="str">
        <f>IF(COUNTIF(Raw_Inventory!A:A,A56)&gt;1,"Duplicate","OK")</f>
        <v>OK</v>
      </c>
      <c r="C56" t="str">
        <f>IF(Raw_Inventory!E56-Raw_Inventory!F56&lt;0,"Error","OK")</f>
        <v>OK</v>
      </c>
      <c r="D56" t="str">
        <f>IF(Raw_Inventory!D56="","Missing","OK")</f>
        <v>OK</v>
      </c>
      <c r="E56" t="str">
        <f t="shared" si="0"/>
        <v>Valid</v>
      </c>
    </row>
    <row r="57" spans="1:5" x14ac:dyDescent="0.25">
      <c r="A57" t="str">
        <f>Raw_Inventory!A57</f>
        <v>P1056</v>
      </c>
      <c r="B57" t="str">
        <f>IF(COUNTIF(Raw_Inventory!A:A,A57)&gt;1,"Duplicate","OK")</f>
        <v>OK</v>
      </c>
      <c r="C57" t="str">
        <f>IF(Raw_Inventory!E57-Raw_Inventory!F57&lt;0,"Error","OK")</f>
        <v>OK</v>
      </c>
      <c r="D57" t="str">
        <f>IF(Raw_Inventory!D57="","Missing","OK")</f>
        <v>OK</v>
      </c>
      <c r="E57" t="str">
        <f t="shared" si="0"/>
        <v>Valid</v>
      </c>
    </row>
    <row r="58" spans="1:5" x14ac:dyDescent="0.25">
      <c r="A58" t="str">
        <f>Raw_Inventory!A58</f>
        <v>P1057</v>
      </c>
      <c r="B58" t="str">
        <f>IF(COUNTIF(Raw_Inventory!A:A,A58)&gt;1,"Duplicate","OK")</f>
        <v>OK</v>
      </c>
      <c r="C58" t="str">
        <f>IF(Raw_Inventory!E58-Raw_Inventory!F58&lt;0,"Error","OK")</f>
        <v>OK</v>
      </c>
      <c r="D58" t="str">
        <f>IF(Raw_Inventory!D58="","Missing","OK")</f>
        <v>OK</v>
      </c>
      <c r="E58" t="str">
        <f t="shared" si="0"/>
        <v>Valid</v>
      </c>
    </row>
    <row r="59" spans="1:5" x14ac:dyDescent="0.25">
      <c r="A59" t="str">
        <f>Raw_Inventory!A59</f>
        <v>P1058</v>
      </c>
      <c r="B59" t="str">
        <f>IF(COUNTIF(Raw_Inventory!A:A,A59)&gt;1,"Duplicate","OK")</f>
        <v>OK</v>
      </c>
      <c r="C59" t="str">
        <f>IF(Raw_Inventory!E59-Raw_Inventory!F59&lt;0,"Error","OK")</f>
        <v>OK</v>
      </c>
      <c r="D59" t="str">
        <f>IF(Raw_Inventory!D59="","Missing","OK")</f>
        <v>OK</v>
      </c>
      <c r="E59" t="str">
        <f t="shared" si="0"/>
        <v>Valid</v>
      </c>
    </row>
    <row r="60" spans="1:5" x14ac:dyDescent="0.25">
      <c r="A60" t="str">
        <f>Raw_Inventory!A60</f>
        <v>P1059</v>
      </c>
      <c r="B60" t="str">
        <f>IF(COUNTIF(Raw_Inventory!A:A,A60)&gt;1,"Duplicate","OK")</f>
        <v>OK</v>
      </c>
      <c r="C60" t="str">
        <f>IF(Raw_Inventory!E60-Raw_Inventory!F60&lt;0,"Error","OK")</f>
        <v>OK</v>
      </c>
      <c r="D60" t="str">
        <f>IF(Raw_Inventory!D60="","Missing","OK")</f>
        <v>OK</v>
      </c>
      <c r="E60" t="str">
        <f t="shared" si="0"/>
        <v>Valid</v>
      </c>
    </row>
    <row r="61" spans="1:5" x14ac:dyDescent="0.25">
      <c r="A61" t="str">
        <f>Raw_Inventory!A61</f>
        <v>P1060</v>
      </c>
      <c r="B61" t="str">
        <f>IF(COUNTIF(Raw_Inventory!A:A,A61)&gt;1,"Duplicate","OK")</f>
        <v>OK</v>
      </c>
      <c r="C61" t="str">
        <f>IF(Raw_Inventory!E61-Raw_Inventory!F61&lt;0,"Error","OK")</f>
        <v>OK</v>
      </c>
      <c r="D61" t="str">
        <f>IF(Raw_Inventory!D61="","Missing","OK")</f>
        <v>OK</v>
      </c>
      <c r="E61" t="str">
        <f t="shared" si="0"/>
        <v>Valid</v>
      </c>
    </row>
    <row r="62" spans="1:5" x14ac:dyDescent="0.25">
      <c r="A62" t="str">
        <f>Raw_Inventory!A62</f>
        <v>P1061</v>
      </c>
      <c r="B62" t="str">
        <f>IF(COUNTIF(Raw_Inventory!A:A,A62)&gt;1,"Duplicate","OK")</f>
        <v>OK</v>
      </c>
      <c r="C62" t="str">
        <f>IF(Raw_Inventory!E62-Raw_Inventory!F62&lt;0,"Error","OK")</f>
        <v>OK</v>
      </c>
      <c r="D62" t="str">
        <f>IF(Raw_Inventory!D62="","Missing","OK")</f>
        <v>OK</v>
      </c>
      <c r="E62" t="str">
        <f t="shared" si="0"/>
        <v>Valid</v>
      </c>
    </row>
    <row r="63" spans="1:5" x14ac:dyDescent="0.25">
      <c r="A63" t="str">
        <f>Raw_Inventory!A63</f>
        <v>P1062</v>
      </c>
      <c r="B63" t="str">
        <f>IF(COUNTIF(Raw_Inventory!A:A,A63)&gt;1,"Duplicate","OK")</f>
        <v>OK</v>
      </c>
      <c r="C63" t="str">
        <f>IF(Raw_Inventory!E63-Raw_Inventory!F63&lt;0,"Error","OK")</f>
        <v>OK</v>
      </c>
      <c r="D63" t="str">
        <f>IF(Raw_Inventory!D63="","Missing","OK")</f>
        <v>OK</v>
      </c>
      <c r="E63" t="str">
        <f t="shared" si="0"/>
        <v>Valid</v>
      </c>
    </row>
    <row r="64" spans="1:5" x14ac:dyDescent="0.25">
      <c r="A64" t="str">
        <f>Raw_Inventory!A64</f>
        <v>P1063</v>
      </c>
      <c r="B64" t="str">
        <f>IF(COUNTIF(Raw_Inventory!A:A,A64)&gt;1,"Duplicate","OK")</f>
        <v>OK</v>
      </c>
      <c r="C64" t="str">
        <f>IF(Raw_Inventory!E64-Raw_Inventory!F64&lt;0,"Error","OK")</f>
        <v>OK</v>
      </c>
      <c r="D64" t="str">
        <f>IF(Raw_Inventory!D64="","Missing","OK")</f>
        <v>OK</v>
      </c>
      <c r="E64" t="str">
        <f t="shared" si="0"/>
        <v>Valid</v>
      </c>
    </row>
    <row r="65" spans="1:5" x14ac:dyDescent="0.25">
      <c r="A65" t="str">
        <f>Raw_Inventory!A65</f>
        <v>P1064</v>
      </c>
      <c r="B65" t="str">
        <f>IF(COUNTIF(Raw_Inventory!A:A,A65)&gt;1,"Duplicate","OK")</f>
        <v>OK</v>
      </c>
      <c r="C65" t="str">
        <f>IF(Raw_Inventory!E65-Raw_Inventory!F65&lt;0,"Error","OK")</f>
        <v>Error</v>
      </c>
      <c r="D65" t="str">
        <f>IF(Raw_Inventory!D65="","Missing","OK")</f>
        <v>OK</v>
      </c>
      <c r="E65" t="str">
        <f t="shared" si="0"/>
        <v>Check Record</v>
      </c>
    </row>
    <row r="66" spans="1:5" x14ac:dyDescent="0.25">
      <c r="A66" t="str">
        <f>Raw_Inventory!A66</f>
        <v>P1065</v>
      </c>
      <c r="B66" t="str">
        <f>IF(COUNTIF(Raw_Inventory!A:A,A66)&gt;1,"Duplicate","OK")</f>
        <v>OK</v>
      </c>
      <c r="C66" t="str">
        <f>IF(Raw_Inventory!E66-Raw_Inventory!F66&lt;0,"Error","OK")</f>
        <v>OK</v>
      </c>
      <c r="D66" t="str">
        <f>IF(Raw_Inventory!D66="","Missing","OK")</f>
        <v>OK</v>
      </c>
      <c r="E66" t="str">
        <f t="shared" si="0"/>
        <v>Valid</v>
      </c>
    </row>
    <row r="67" spans="1:5" x14ac:dyDescent="0.25">
      <c r="A67" t="str">
        <f>Raw_Inventory!A67</f>
        <v>P1066</v>
      </c>
      <c r="B67" t="str">
        <f>IF(COUNTIF(Raw_Inventory!A:A,A67)&gt;1,"Duplicate","OK")</f>
        <v>OK</v>
      </c>
      <c r="C67" t="str">
        <f>IF(Raw_Inventory!E67-Raw_Inventory!F67&lt;0,"Error","OK")</f>
        <v>OK</v>
      </c>
      <c r="D67" t="str">
        <f>IF(Raw_Inventory!D67="","Missing","OK")</f>
        <v>OK</v>
      </c>
      <c r="E67" t="str">
        <f t="shared" ref="E67:E130" si="1">IF(OR(B67="Duplicate",C67="Error",D67="Missing"),"Check Record","Valid")</f>
        <v>Valid</v>
      </c>
    </row>
    <row r="68" spans="1:5" x14ac:dyDescent="0.25">
      <c r="A68" t="str">
        <f>Raw_Inventory!A68</f>
        <v>P1067</v>
      </c>
      <c r="B68" t="str">
        <f>IF(COUNTIF(Raw_Inventory!A:A,A68)&gt;1,"Duplicate","OK")</f>
        <v>OK</v>
      </c>
      <c r="C68" t="str">
        <f>IF(Raw_Inventory!E68-Raw_Inventory!F68&lt;0,"Error","OK")</f>
        <v>OK</v>
      </c>
      <c r="D68" t="str">
        <f>IF(Raw_Inventory!D68="","Missing","OK")</f>
        <v>OK</v>
      </c>
      <c r="E68" t="str">
        <f t="shared" si="1"/>
        <v>Valid</v>
      </c>
    </row>
    <row r="69" spans="1:5" x14ac:dyDescent="0.25">
      <c r="A69" t="str">
        <f>Raw_Inventory!A69</f>
        <v>P1068</v>
      </c>
      <c r="B69" t="str">
        <f>IF(COUNTIF(Raw_Inventory!A:A,A69)&gt;1,"Duplicate","OK")</f>
        <v>OK</v>
      </c>
      <c r="C69" t="str">
        <f>IF(Raw_Inventory!E69-Raw_Inventory!F69&lt;0,"Error","OK")</f>
        <v>OK</v>
      </c>
      <c r="D69" t="str">
        <f>IF(Raw_Inventory!D69="","Missing","OK")</f>
        <v>OK</v>
      </c>
      <c r="E69" t="str">
        <f t="shared" si="1"/>
        <v>Valid</v>
      </c>
    </row>
    <row r="70" spans="1:5" x14ac:dyDescent="0.25">
      <c r="A70" t="str">
        <f>Raw_Inventory!A70</f>
        <v>P1069</v>
      </c>
      <c r="B70" t="str">
        <f>IF(COUNTIF(Raw_Inventory!A:A,A70)&gt;1,"Duplicate","OK")</f>
        <v>OK</v>
      </c>
      <c r="C70" t="str">
        <f>IF(Raw_Inventory!E70-Raw_Inventory!F70&lt;0,"Error","OK")</f>
        <v>OK</v>
      </c>
      <c r="D70" t="str">
        <f>IF(Raw_Inventory!D70="","Missing","OK")</f>
        <v>OK</v>
      </c>
      <c r="E70" t="str">
        <f t="shared" si="1"/>
        <v>Valid</v>
      </c>
    </row>
    <row r="71" spans="1:5" x14ac:dyDescent="0.25">
      <c r="A71" t="str">
        <f>Raw_Inventory!A71</f>
        <v>P1070</v>
      </c>
      <c r="B71" t="str">
        <f>IF(COUNTIF(Raw_Inventory!A:A,A71)&gt;1,"Duplicate","OK")</f>
        <v>OK</v>
      </c>
      <c r="C71" t="str">
        <f>IF(Raw_Inventory!E71-Raw_Inventory!F71&lt;0,"Error","OK")</f>
        <v>OK</v>
      </c>
      <c r="D71" t="str">
        <f>IF(Raw_Inventory!D71="","Missing","OK")</f>
        <v>OK</v>
      </c>
      <c r="E71" t="str">
        <f t="shared" si="1"/>
        <v>Valid</v>
      </c>
    </row>
    <row r="72" spans="1:5" x14ac:dyDescent="0.25">
      <c r="A72" t="str">
        <f>Raw_Inventory!A72</f>
        <v>P1071</v>
      </c>
      <c r="B72" t="str">
        <f>IF(COUNTIF(Raw_Inventory!A:A,A72)&gt;1,"Duplicate","OK")</f>
        <v>OK</v>
      </c>
      <c r="C72" t="str">
        <f>IF(Raw_Inventory!E72-Raw_Inventory!F72&lt;0,"Error","OK")</f>
        <v>Error</v>
      </c>
      <c r="D72" t="str">
        <f>IF(Raw_Inventory!D72="","Missing","OK")</f>
        <v>OK</v>
      </c>
      <c r="E72" t="str">
        <f t="shared" si="1"/>
        <v>Check Record</v>
      </c>
    </row>
    <row r="73" spans="1:5" x14ac:dyDescent="0.25">
      <c r="A73" t="str">
        <f>Raw_Inventory!A73</f>
        <v>P1072</v>
      </c>
      <c r="B73" t="str">
        <f>IF(COUNTIF(Raw_Inventory!A:A,A73)&gt;1,"Duplicate","OK")</f>
        <v>OK</v>
      </c>
      <c r="C73" t="str">
        <f>IF(Raw_Inventory!E73-Raw_Inventory!F73&lt;0,"Error","OK")</f>
        <v>OK</v>
      </c>
      <c r="D73" t="str">
        <f>IF(Raw_Inventory!D73="","Missing","OK")</f>
        <v>OK</v>
      </c>
      <c r="E73" t="str">
        <f t="shared" si="1"/>
        <v>Valid</v>
      </c>
    </row>
    <row r="74" spans="1:5" x14ac:dyDescent="0.25">
      <c r="A74" t="str">
        <f>Raw_Inventory!A74</f>
        <v>P1073</v>
      </c>
      <c r="B74" t="str">
        <f>IF(COUNTIF(Raw_Inventory!A:A,A74)&gt;1,"Duplicate","OK")</f>
        <v>OK</v>
      </c>
      <c r="C74" t="str">
        <f>IF(Raw_Inventory!E74-Raw_Inventory!F74&lt;0,"Error","OK")</f>
        <v>OK</v>
      </c>
      <c r="D74" t="str">
        <f>IF(Raw_Inventory!D74="","Missing","OK")</f>
        <v>OK</v>
      </c>
      <c r="E74" t="str">
        <f t="shared" si="1"/>
        <v>Valid</v>
      </c>
    </row>
    <row r="75" spans="1:5" x14ac:dyDescent="0.25">
      <c r="A75" t="str">
        <f>Raw_Inventory!A75</f>
        <v>P1074</v>
      </c>
      <c r="B75" t="str">
        <f>IF(COUNTIF(Raw_Inventory!A:A,A75)&gt;1,"Duplicate","OK")</f>
        <v>OK</v>
      </c>
      <c r="C75" t="str">
        <f>IF(Raw_Inventory!E75-Raw_Inventory!F75&lt;0,"Error","OK")</f>
        <v>Error</v>
      </c>
      <c r="D75" t="str">
        <f>IF(Raw_Inventory!D75="","Missing","OK")</f>
        <v>OK</v>
      </c>
      <c r="E75" t="str">
        <f t="shared" si="1"/>
        <v>Check Record</v>
      </c>
    </row>
    <row r="76" spans="1:5" x14ac:dyDescent="0.25">
      <c r="A76" t="str">
        <f>Raw_Inventory!A76</f>
        <v>P1075</v>
      </c>
      <c r="B76" t="str">
        <f>IF(COUNTIF(Raw_Inventory!A:A,A76)&gt;1,"Duplicate","OK")</f>
        <v>OK</v>
      </c>
      <c r="C76" t="str">
        <f>IF(Raw_Inventory!E76-Raw_Inventory!F76&lt;0,"Error","OK")</f>
        <v>OK</v>
      </c>
      <c r="D76" t="str">
        <f>IF(Raw_Inventory!D76="","Missing","OK")</f>
        <v>OK</v>
      </c>
      <c r="E76" t="str">
        <f t="shared" si="1"/>
        <v>Valid</v>
      </c>
    </row>
    <row r="77" spans="1:5" x14ac:dyDescent="0.25">
      <c r="A77" t="str">
        <f>Raw_Inventory!A77</f>
        <v>P1076</v>
      </c>
      <c r="B77" t="str">
        <f>IF(COUNTIF(Raw_Inventory!A:A,A77)&gt;1,"Duplicate","OK")</f>
        <v>OK</v>
      </c>
      <c r="C77" t="str">
        <f>IF(Raw_Inventory!E77-Raw_Inventory!F77&lt;0,"Error","OK")</f>
        <v>OK</v>
      </c>
      <c r="D77" t="str">
        <f>IF(Raw_Inventory!D77="","Missing","OK")</f>
        <v>OK</v>
      </c>
      <c r="E77" t="str">
        <f t="shared" si="1"/>
        <v>Valid</v>
      </c>
    </row>
    <row r="78" spans="1:5" x14ac:dyDescent="0.25">
      <c r="A78" t="str">
        <f>Raw_Inventory!A78</f>
        <v>P1077</v>
      </c>
      <c r="B78" t="str">
        <f>IF(COUNTIF(Raw_Inventory!A:A,A78)&gt;1,"Duplicate","OK")</f>
        <v>OK</v>
      </c>
      <c r="C78" t="str">
        <f>IF(Raw_Inventory!E78-Raw_Inventory!F78&lt;0,"Error","OK")</f>
        <v>OK</v>
      </c>
      <c r="D78" t="str">
        <f>IF(Raw_Inventory!D78="","Missing","OK")</f>
        <v>OK</v>
      </c>
      <c r="E78" t="str">
        <f t="shared" si="1"/>
        <v>Valid</v>
      </c>
    </row>
    <row r="79" spans="1:5" x14ac:dyDescent="0.25">
      <c r="A79" t="str">
        <f>Raw_Inventory!A79</f>
        <v>P1078</v>
      </c>
      <c r="B79" t="str">
        <f>IF(COUNTIF(Raw_Inventory!A:A,A79)&gt;1,"Duplicate","OK")</f>
        <v>OK</v>
      </c>
      <c r="C79" t="str">
        <f>IF(Raw_Inventory!E79-Raw_Inventory!F79&lt;0,"Error","OK")</f>
        <v>OK</v>
      </c>
      <c r="D79" t="str">
        <f>IF(Raw_Inventory!D79="","Missing","OK")</f>
        <v>OK</v>
      </c>
      <c r="E79" t="str">
        <f t="shared" si="1"/>
        <v>Valid</v>
      </c>
    </row>
    <row r="80" spans="1:5" x14ac:dyDescent="0.25">
      <c r="A80" t="str">
        <f>Raw_Inventory!A80</f>
        <v>P1079</v>
      </c>
      <c r="B80" t="str">
        <f>IF(COUNTIF(Raw_Inventory!A:A,A80)&gt;1,"Duplicate","OK")</f>
        <v>OK</v>
      </c>
      <c r="C80" t="str">
        <f>IF(Raw_Inventory!E80-Raw_Inventory!F80&lt;0,"Error","OK")</f>
        <v>OK</v>
      </c>
      <c r="D80" t="str">
        <f>IF(Raw_Inventory!D80="","Missing","OK")</f>
        <v>OK</v>
      </c>
      <c r="E80" t="str">
        <f t="shared" si="1"/>
        <v>Valid</v>
      </c>
    </row>
    <row r="81" spans="1:5" x14ac:dyDescent="0.25">
      <c r="A81" t="str">
        <f>Raw_Inventory!A81</f>
        <v>P1080</v>
      </c>
      <c r="B81" t="str">
        <f>IF(COUNTIF(Raw_Inventory!A:A,A81)&gt;1,"Duplicate","OK")</f>
        <v>OK</v>
      </c>
      <c r="C81" t="str">
        <f>IF(Raw_Inventory!E81-Raw_Inventory!F81&lt;0,"Error","OK")</f>
        <v>OK</v>
      </c>
      <c r="D81" t="str">
        <f>IF(Raw_Inventory!D81="","Missing","OK")</f>
        <v>OK</v>
      </c>
      <c r="E81" t="str">
        <f t="shared" si="1"/>
        <v>Valid</v>
      </c>
    </row>
    <row r="82" spans="1:5" x14ac:dyDescent="0.25">
      <c r="A82" t="str">
        <f>Raw_Inventory!A82</f>
        <v>P1081</v>
      </c>
      <c r="B82" t="str">
        <f>IF(COUNTIF(Raw_Inventory!A:A,A82)&gt;1,"Duplicate","OK")</f>
        <v>OK</v>
      </c>
      <c r="C82" t="str">
        <f>IF(Raw_Inventory!E82-Raw_Inventory!F82&lt;0,"Error","OK")</f>
        <v>Error</v>
      </c>
      <c r="D82" t="str">
        <f>IF(Raw_Inventory!D82="","Missing","OK")</f>
        <v>OK</v>
      </c>
      <c r="E82" t="str">
        <f t="shared" si="1"/>
        <v>Check Record</v>
      </c>
    </row>
    <row r="83" spans="1:5" x14ac:dyDescent="0.25">
      <c r="A83" t="str">
        <f>Raw_Inventory!A83</f>
        <v>P1082</v>
      </c>
      <c r="B83" t="str">
        <f>IF(COUNTIF(Raw_Inventory!A:A,A83)&gt;1,"Duplicate","OK")</f>
        <v>OK</v>
      </c>
      <c r="C83" t="str">
        <f>IF(Raw_Inventory!E83-Raw_Inventory!F83&lt;0,"Error","OK")</f>
        <v>OK</v>
      </c>
      <c r="D83" t="str">
        <f>IF(Raw_Inventory!D83="","Missing","OK")</f>
        <v>OK</v>
      </c>
      <c r="E83" t="str">
        <f t="shared" si="1"/>
        <v>Valid</v>
      </c>
    </row>
    <row r="84" spans="1:5" x14ac:dyDescent="0.25">
      <c r="A84" t="str">
        <f>Raw_Inventory!A84</f>
        <v>P1083</v>
      </c>
      <c r="B84" t="str">
        <f>IF(COUNTIF(Raw_Inventory!A:A,A84)&gt;1,"Duplicate","OK")</f>
        <v>OK</v>
      </c>
      <c r="C84" t="str">
        <f>IF(Raw_Inventory!E84-Raw_Inventory!F84&lt;0,"Error","OK")</f>
        <v>Error</v>
      </c>
      <c r="D84" t="str">
        <f>IF(Raw_Inventory!D84="","Missing","OK")</f>
        <v>OK</v>
      </c>
      <c r="E84" t="str">
        <f t="shared" si="1"/>
        <v>Check Record</v>
      </c>
    </row>
    <row r="85" spans="1:5" x14ac:dyDescent="0.25">
      <c r="A85" t="str">
        <f>Raw_Inventory!A85</f>
        <v>P1084</v>
      </c>
      <c r="B85" t="str">
        <f>IF(COUNTIF(Raw_Inventory!A:A,A85)&gt;1,"Duplicate","OK")</f>
        <v>OK</v>
      </c>
      <c r="C85" t="str">
        <f>IF(Raw_Inventory!E85-Raw_Inventory!F85&lt;0,"Error","OK")</f>
        <v>Error</v>
      </c>
      <c r="D85" t="str">
        <f>IF(Raw_Inventory!D85="","Missing","OK")</f>
        <v>OK</v>
      </c>
      <c r="E85" t="str">
        <f t="shared" si="1"/>
        <v>Check Record</v>
      </c>
    </row>
    <row r="86" spans="1:5" x14ac:dyDescent="0.25">
      <c r="A86" t="str">
        <f>Raw_Inventory!A86</f>
        <v>P1085</v>
      </c>
      <c r="B86" t="str">
        <f>IF(COUNTIF(Raw_Inventory!A:A,A86)&gt;1,"Duplicate","OK")</f>
        <v>OK</v>
      </c>
      <c r="C86" t="str">
        <f>IF(Raw_Inventory!E86-Raw_Inventory!F86&lt;0,"Error","OK")</f>
        <v>OK</v>
      </c>
      <c r="D86" t="str">
        <f>IF(Raw_Inventory!D86="","Missing","OK")</f>
        <v>OK</v>
      </c>
      <c r="E86" t="str">
        <f t="shared" si="1"/>
        <v>Valid</v>
      </c>
    </row>
    <row r="87" spans="1:5" x14ac:dyDescent="0.25">
      <c r="A87" t="str">
        <f>Raw_Inventory!A87</f>
        <v>P1086</v>
      </c>
      <c r="B87" t="str">
        <f>IF(COUNTIF(Raw_Inventory!A:A,A87)&gt;1,"Duplicate","OK")</f>
        <v>OK</v>
      </c>
      <c r="C87" t="str">
        <f>IF(Raw_Inventory!E87-Raw_Inventory!F87&lt;0,"Error","OK")</f>
        <v>Error</v>
      </c>
      <c r="D87" t="str">
        <f>IF(Raw_Inventory!D87="","Missing","OK")</f>
        <v>OK</v>
      </c>
      <c r="E87" t="str">
        <f t="shared" si="1"/>
        <v>Check Record</v>
      </c>
    </row>
    <row r="88" spans="1:5" x14ac:dyDescent="0.25">
      <c r="A88" t="str">
        <f>Raw_Inventory!A88</f>
        <v>P1087</v>
      </c>
      <c r="B88" t="str">
        <f>IF(COUNTIF(Raw_Inventory!A:A,A88)&gt;1,"Duplicate","OK")</f>
        <v>OK</v>
      </c>
      <c r="C88" t="str">
        <f>IF(Raw_Inventory!E88-Raw_Inventory!F88&lt;0,"Error","OK")</f>
        <v>Error</v>
      </c>
      <c r="D88" t="str">
        <f>IF(Raw_Inventory!D88="","Missing","OK")</f>
        <v>OK</v>
      </c>
      <c r="E88" t="str">
        <f t="shared" si="1"/>
        <v>Check Record</v>
      </c>
    </row>
    <row r="89" spans="1:5" x14ac:dyDescent="0.25">
      <c r="A89" t="str">
        <f>Raw_Inventory!A89</f>
        <v>P1088</v>
      </c>
      <c r="B89" t="str">
        <f>IF(COUNTIF(Raw_Inventory!A:A,A89)&gt;1,"Duplicate","OK")</f>
        <v>OK</v>
      </c>
      <c r="C89" t="str">
        <f>IF(Raw_Inventory!E89-Raw_Inventory!F89&lt;0,"Error","OK")</f>
        <v>OK</v>
      </c>
      <c r="D89" t="str">
        <f>IF(Raw_Inventory!D89="","Missing","OK")</f>
        <v>OK</v>
      </c>
      <c r="E89" t="str">
        <f t="shared" si="1"/>
        <v>Valid</v>
      </c>
    </row>
    <row r="90" spans="1:5" x14ac:dyDescent="0.25">
      <c r="A90" t="str">
        <f>Raw_Inventory!A90</f>
        <v>P1089</v>
      </c>
      <c r="B90" t="str">
        <f>IF(COUNTIF(Raw_Inventory!A:A,A90)&gt;1,"Duplicate","OK")</f>
        <v>OK</v>
      </c>
      <c r="C90" t="str">
        <f>IF(Raw_Inventory!E90-Raw_Inventory!F90&lt;0,"Error","OK")</f>
        <v>OK</v>
      </c>
      <c r="D90" t="str">
        <f>IF(Raw_Inventory!D90="","Missing","OK")</f>
        <v>OK</v>
      </c>
      <c r="E90" t="str">
        <f t="shared" si="1"/>
        <v>Valid</v>
      </c>
    </row>
    <row r="91" spans="1:5" x14ac:dyDescent="0.25">
      <c r="A91" t="str">
        <f>Raw_Inventory!A91</f>
        <v>P1090</v>
      </c>
      <c r="B91" t="str">
        <f>IF(COUNTIF(Raw_Inventory!A:A,A91)&gt;1,"Duplicate","OK")</f>
        <v>OK</v>
      </c>
      <c r="C91" t="str">
        <f>IF(Raw_Inventory!E91-Raw_Inventory!F91&lt;0,"Error","OK")</f>
        <v>OK</v>
      </c>
      <c r="D91" t="str">
        <f>IF(Raw_Inventory!D91="","Missing","OK")</f>
        <v>OK</v>
      </c>
      <c r="E91" t="str">
        <f t="shared" si="1"/>
        <v>Valid</v>
      </c>
    </row>
    <row r="92" spans="1:5" x14ac:dyDescent="0.25">
      <c r="A92" t="str">
        <f>Raw_Inventory!A92</f>
        <v>P1091</v>
      </c>
      <c r="B92" t="str">
        <f>IF(COUNTIF(Raw_Inventory!A:A,A92)&gt;1,"Duplicate","OK")</f>
        <v>OK</v>
      </c>
      <c r="C92" t="str">
        <f>IF(Raw_Inventory!E92-Raw_Inventory!F92&lt;0,"Error","OK")</f>
        <v>OK</v>
      </c>
      <c r="D92" t="str">
        <f>IF(Raw_Inventory!D92="","Missing","OK")</f>
        <v>OK</v>
      </c>
      <c r="E92" t="str">
        <f t="shared" si="1"/>
        <v>Valid</v>
      </c>
    </row>
    <row r="93" spans="1:5" x14ac:dyDescent="0.25">
      <c r="A93" t="str">
        <f>Raw_Inventory!A93</f>
        <v>P1092</v>
      </c>
      <c r="B93" t="str">
        <f>IF(COUNTIF(Raw_Inventory!A:A,A93)&gt;1,"Duplicate","OK")</f>
        <v>OK</v>
      </c>
      <c r="C93" t="str">
        <f>IF(Raw_Inventory!E93-Raw_Inventory!F93&lt;0,"Error","OK")</f>
        <v>OK</v>
      </c>
      <c r="D93" t="str">
        <f>IF(Raw_Inventory!D93="","Missing","OK")</f>
        <v>OK</v>
      </c>
      <c r="E93" t="str">
        <f t="shared" si="1"/>
        <v>Valid</v>
      </c>
    </row>
    <row r="94" spans="1:5" x14ac:dyDescent="0.25">
      <c r="A94" t="str">
        <f>Raw_Inventory!A94</f>
        <v>P1093</v>
      </c>
      <c r="B94" t="str">
        <f>IF(COUNTIF(Raw_Inventory!A:A,A94)&gt;1,"Duplicate","OK")</f>
        <v>OK</v>
      </c>
      <c r="C94" t="str">
        <f>IF(Raw_Inventory!E94-Raw_Inventory!F94&lt;0,"Error","OK")</f>
        <v>Error</v>
      </c>
      <c r="D94" t="str">
        <f>IF(Raw_Inventory!D94="","Missing","OK")</f>
        <v>OK</v>
      </c>
      <c r="E94" t="str">
        <f t="shared" si="1"/>
        <v>Check Record</v>
      </c>
    </row>
    <row r="95" spans="1:5" x14ac:dyDescent="0.25">
      <c r="A95" t="str">
        <f>Raw_Inventory!A95</f>
        <v>P1094</v>
      </c>
      <c r="B95" t="str">
        <f>IF(COUNTIF(Raw_Inventory!A:A,A95)&gt;1,"Duplicate","OK")</f>
        <v>OK</v>
      </c>
      <c r="C95" t="str">
        <f>IF(Raw_Inventory!E95-Raw_Inventory!F95&lt;0,"Error","OK")</f>
        <v>Error</v>
      </c>
      <c r="D95" t="str">
        <f>IF(Raw_Inventory!D95="","Missing","OK")</f>
        <v>OK</v>
      </c>
      <c r="E95" t="str">
        <f t="shared" si="1"/>
        <v>Check Record</v>
      </c>
    </row>
    <row r="96" spans="1:5" x14ac:dyDescent="0.25">
      <c r="A96" t="str">
        <f>Raw_Inventory!A96</f>
        <v>P1095</v>
      </c>
      <c r="B96" t="str">
        <f>IF(COUNTIF(Raw_Inventory!A:A,A96)&gt;1,"Duplicate","OK")</f>
        <v>OK</v>
      </c>
      <c r="C96" t="str">
        <f>IF(Raw_Inventory!E96-Raw_Inventory!F96&lt;0,"Error","OK")</f>
        <v>Error</v>
      </c>
      <c r="D96" t="str">
        <f>IF(Raw_Inventory!D96="","Missing","OK")</f>
        <v>OK</v>
      </c>
      <c r="E96" t="str">
        <f t="shared" si="1"/>
        <v>Check Record</v>
      </c>
    </row>
    <row r="97" spans="1:5" x14ac:dyDescent="0.25">
      <c r="A97" t="str">
        <f>Raw_Inventory!A97</f>
        <v>P1096</v>
      </c>
      <c r="B97" t="str">
        <f>IF(COUNTIF(Raw_Inventory!A:A,A97)&gt;1,"Duplicate","OK")</f>
        <v>OK</v>
      </c>
      <c r="C97" t="str">
        <f>IF(Raw_Inventory!E97-Raw_Inventory!F97&lt;0,"Error","OK")</f>
        <v>OK</v>
      </c>
      <c r="D97" t="str">
        <f>IF(Raw_Inventory!D97="","Missing","OK")</f>
        <v>OK</v>
      </c>
      <c r="E97" t="str">
        <f t="shared" si="1"/>
        <v>Valid</v>
      </c>
    </row>
    <row r="98" spans="1:5" x14ac:dyDescent="0.25">
      <c r="A98" t="str">
        <f>Raw_Inventory!A98</f>
        <v>P1097</v>
      </c>
      <c r="B98" t="str">
        <f>IF(COUNTIF(Raw_Inventory!A:A,A98)&gt;1,"Duplicate","OK")</f>
        <v>OK</v>
      </c>
      <c r="C98" t="str">
        <f>IF(Raw_Inventory!E98-Raw_Inventory!F98&lt;0,"Error","OK")</f>
        <v>Error</v>
      </c>
      <c r="D98" t="str">
        <f>IF(Raw_Inventory!D98="","Missing","OK")</f>
        <v>OK</v>
      </c>
      <c r="E98" t="str">
        <f t="shared" si="1"/>
        <v>Check Record</v>
      </c>
    </row>
    <row r="99" spans="1:5" x14ac:dyDescent="0.25">
      <c r="A99" t="str">
        <f>Raw_Inventory!A99</f>
        <v>P1098</v>
      </c>
      <c r="B99" t="str">
        <f>IF(COUNTIF(Raw_Inventory!A:A,A99)&gt;1,"Duplicate","OK")</f>
        <v>OK</v>
      </c>
      <c r="C99" t="str">
        <f>IF(Raw_Inventory!E99-Raw_Inventory!F99&lt;0,"Error","OK")</f>
        <v>Error</v>
      </c>
      <c r="D99" t="str">
        <f>IF(Raw_Inventory!D99="","Missing","OK")</f>
        <v>OK</v>
      </c>
      <c r="E99" t="str">
        <f t="shared" si="1"/>
        <v>Check Record</v>
      </c>
    </row>
    <row r="100" spans="1:5" x14ac:dyDescent="0.25">
      <c r="A100" t="str">
        <f>Raw_Inventory!A100</f>
        <v>P1099</v>
      </c>
      <c r="B100" t="str">
        <f>IF(COUNTIF(Raw_Inventory!A:A,A100)&gt;1,"Duplicate","OK")</f>
        <v>OK</v>
      </c>
      <c r="C100" t="str">
        <f>IF(Raw_Inventory!E100-Raw_Inventory!F100&lt;0,"Error","OK")</f>
        <v>Error</v>
      </c>
      <c r="D100" t="str">
        <f>IF(Raw_Inventory!D100="","Missing","OK")</f>
        <v>OK</v>
      </c>
      <c r="E100" t="str">
        <f t="shared" si="1"/>
        <v>Check Record</v>
      </c>
    </row>
    <row r="101" spans="1:5" x14ac:dyDescent="0.25">
      <c r="A101" t="str">
        <f>Raw_Inventory!A101</f>
        <v>P1100</v>
      </c>
      <c r="B101" t="str">
        <f>IF(COUNTIF(Raw_Inventory!A:A,A101)&gt;1,"Duplicate","OK")</f>
        <v>OK</v>
      </c>
      <c r="C101" t="str">
        <f>IF(Raw_Inventory!E101-Raw_Inventory!F101&lt;0,"Error","OK")</f>
        <v>Error</v>
      </c>
      <c r="D101" t="str">
        <f>IF(Raw_Inventory!D101="","Missing","OK")</f>
        <v>OK</v>
      </c>
      <c r="E101" t="str">
        <f t="shared" si="1"/>
        <v>Check Record</v>
      </c>
    </row>
    <row r="102" spans="1:5" x14ac:dyDescent="0.25">
      <c r="A102" t="str">
        <f>Raw_Inventory!A102</f>
        <v>P1101</v>
      </c>
      <c r="B102" t="str">
        <f>IF(COUNTIF(Raw_Inventory!A:A,A102)&gt;1,"Duplicate","OK")</f>
        <v>OK</v>
      </c>
      <c r="C102" t="str">
        <f>IF(Raw_Inventory!E102-Raw_Inventory!F102&lt;0,"Error","OK")</f>
        <v>Error</v>
      </c>
      <c r="D102" t="str">
        <f>IF(Raw_Inventory!D102="","Missing","OK")</f>
        <v>OK</v>
      </c>
      <c r="E102" t="str">
        <f t="shared" si="1"/>
        <v>Check Record</v>
      </c>
    </row>
    <row r="103" spans="1:5" x14ac:dyDescent="0.25">
      <c r="A103" t="str">
        <f>Raw_Inventory!A103</f>
        <v>P1102</v>
      </c>
      <c r="B103" t="str">
        <f>IF(COUNTIF(Raw_Inventory!A:A,A103)&gt;1,"Duplicate","OK")</f>
        <v>OK</v>
      </c>
      <c r="C103" t="str">
        <f>IF(Raw_Inventory!E103-Raw_Inventory!F103&lt;0,"Error","OK")</f>
        <v>OK</v>
      </c>
      <c r="D103" t="str">
        <f>IF(Raw_Inventory!D103="","Missing","OK")</f>
        <v>OK</v>
      </c>
      <c r="E103" t="str">
        <f t="shared" si="1"/>
        <v>Valid</v>
      </c>
    </row>
    <row r="104" spans="1:5" x14ac:dyDescent="0.25">
      <c r="A104" t="str">
        <f>Raw_Inventory!A104</f>
        <v>P1103</v>
      </c>
      <c r="B104" t="str">
        <f>IF(COUNTIF(Raw_Inventory!A:A,A104)&gt;1,"Duplicate","OK")</f>
        <v>OK</v>
      </c>
      <c r="C104" t="str">
        <f>IF(Raw_Inventory!E104-Raw_Inventory!F104&lt;0,"Error","OK")</f>
        <v>Error</v>
      </c>
      <c r="D104" t="str">
        <f>IF(Raw_Inventory!D104="","Missing","OK")</f>
        <v>OK</v>
      </c>
      <c r="E104" t="str">
        <f t="shared" si="1"/>
        <v>Check Record</v>
      </c>
    </row>
    <row r="105" spans="1:5" x14ac:dyDescent="0.25">
      <c r="A105" t="str">
        <f>Raw_Inventory!A105</f>
        <v>P1104</v>
      </c>
      <c r="B105" t="str">
        <f>IF(COUNTIF(Raw_Inventory!A:A,A105)&gt;1,"Duplicate","OK")</f>
        <v>OK</v>
      </c>
      <c r="C105" t="str">
        <f>IF(Raw_Inventory!E105-Raw_Inventory!F105&lt;0,"Error","OK")</f>
        <v>OK</v>
      </c>
      <c r="D105" t="str">
        <f>IF(Raw_Inventory!D105="","Missing","OK")</f>
        <v>OK</v>
      </c>
      <c r="E105" t="str">
        <f t="shared" si="1"/>
        <v>Valid</v>
      </c>
    </row>
    <row r="106" spans="1:5" x14ac:dyDescent="0.25">
      <c r="A106" t="str">
        <f>Raw_Inventory!A106</f>
        <v>P1105</v>
      </c>
      <c r="B106" t="str">
        <f>IF(COUNTIF(Raw_Inventory!A:A,A106)&gt;1,"Duplicate","OK")</f>
        <v>OK</v>
      </c>
      <c r="C106" t="str">
        <f>IF(Raw_Inventory!E106-Raw_Inventory!F106&lt;0,"Error","OK")</f>
        <v>OK</v>
      </c>
      <c r="D106" t="str">
        <f>IF(Raw_Inventory!D106="","Missing","OK")</f>
        <v>OK</v>
      </c>
      <c r="E106" t="str">
        <f t="shared" si="1"/>
        <v>Valid</v>
      </c>
    </row>
    <row r="107" spans="1:5" x14ac:dyDescent="0.25">
      <c r="A107" t="str">
        <f>Raw_Inventory!A107</f>
        <v>P1106</v>
      </c>
      <c r="B107" t="str">
        <f>IF(COUNTIF(Raw_Inventory!A:A,A107)&gt;1,"Duplicate","OK")</f>
        <v>OK</v>
      </c>
      <c r="C107" t="str">
        <f>IF(Raw_Inventory!E107-Raw_Inventory!F107&lt;0,"Error","OK")</f>
        <v>OK</v>
      </c>
      <c r="D107" t="str">
        <f>IF(Raw_Inventory!D107="","Missing","OK")</f>
        <v>OK</v>
      </c>
      <c r="E107" t="str">
        <f t="shared" si="1"/>
        <v>Valid</v>
      </c>
    </row>
    <row r="108" spans="1:5" x14ac:dyDescent="0.25">
      <c r="A108" t="str">
        <f>Raw_Inventory!A108</f>
        <v>P1107</v>
      </c>
      <c r="B108" t="str">
        <f>IF(COUNTIF(Raw_Inventory!A:A,A108)&gt;1,"Duplicate","OK")</f>
        <v>OK</v>
      </c>
      <c r="C108" t="str">
        <f>IF(Raw_Inventory!E108-Raw_Inventory!F108&lt;0,"Error","OK")</f>
        <v>Error</v>
      </c>
      <c r="D108" t="str">
        <f>IF(Raw_Inventory!D108="","Missing","OK")</f>
        <v>OK</v>
      </c>
      <c r="E108" t="str">
        <f t="shared" si="1"/>
        <v>Check Record</v>
      </c>
    </row>
    <row r="109" spans="1:5" x14ac:dyDescent="0.25">
      <c r="A109" t="str">
        <f>Raw_Inventory!A109</f>
        <v>P1108</v>
      </c>
      <c r="B109" t="str">
        <f>IF(COUNTIF(Raw_Inventory!A:A,A109)&gt;1,"Duplicate","OK")</f>
        <v>OK</v>
      </c>
      <c r="C109" t="str">
        <f>IF(Raw_Inventory!E109-Raw_Inventory!F109&lt;0,"Error","OK")</f>
        <v>OK</v>
      </c>
      <c r="D109" t="str">
        <f>IF(Raw_Inventory!D109="","Missing","OK")</f>
        <v>OK</v>
      </c>
      <c r="E109" t="str">
        <f t="shared" si="1"/>
        <v>Valid</v>
      </c>
    </row>
    <row r="110" spans="1:5" x14ac:dyDescent="0.25">
      <c r="A110" t="str">
        <f>Raw_Inventory!A110</f>
        <v>P1109</v>
      </c>
      <c r="B110" t="str">
        <f>IF(COUNTIF(Raw_Inventory!A:A,A110)&gt;1,"Duplicate","OK")</f>
        <v>OK</v>
      </c>
      <c r="C110" t="str">
        <f>IF(Raw_Inventory!E110-Raw_Inventory!F110&lt;0,"Error","OK")</f>
        <v>OK</v>
      </c>
      <c r="D110" t="str">
        <f>IF(Raw_Inventory!D110="","Missing","OK")</f>
        <v>OK</v>
      </c>
      <c r="E110" t="str">
        <f t="shared" si="1"/>
        <v>Valid</v>
      </c>
    </row>
    <row r="111" spans="1:5" x14ac:dyDescent="0.25">
      <c r="A111" t="str">
        <f>Raw_Inventory!A111</f>
        <v>P1110</v>
      </c>
      <c r="B111" t="str">
        <f>IF(COUNTIF(Raw_Inventory!A:A,A111)&gt;1,"Duplicate","OK")</f>
        <v>OK</v>
      </c>
      <c r="C111" t="str">
        <f>IF(Raw_Inventory!E111-Raw_Inventory!F111&lt;0,"Error","OK")</f>
        <v>Error</v>
      </c>
      <c r="D111" t="str">
        <f>IF(Raw_Inventory!D111="","Missing","OK")</f>
        <v>OK</v>
      </c>
      <c r="E111" t="str">
        <f t="shared" si="1"/>
        <v>Check Record</v>
      </c>
    </row>
    <row r="112" spans="1:5" x14ac:dyDescent="0.25">
      <c r="A112" t="str">
        <f>Raw_Inventory!A112</f>
        <v>P1111</v>
      </c>
      <c r="B112" t="str">
        <f>IF(COUNTIF(Raw_Inventory!A:A,A112)&gt;1,"Duplicate","OK")</f>
        <v>OK</v>
      </c>
      <c r="C112" t="str">
        <f>IF(Raw_Inventory!E112-Raw_Inventory!F112&lt;0,"Error","OK")</f>
        <v>Error</v>
      </c>
      <c r="D112" t="str">
        <f>IF(Raw_Inventory!D112="","Missing","OK")</f>
        <v>OK</v>
      </c>
      <c r="E112" t="str">
        <f t="shared" si="1"/>
        <v>Check Record</v>
      </c>
    </row>
    <row r="113" spans="1:5" x14ac:dyDescent="0.25">
      <c r="A113" t="str">
        <f>Raw_Inventory!A113</f>
        <v>P1112</v>
      </c>
      <c r="B113" t="str">
        <f>IF(COUNTIF(Raw_Inventory!A:A,A113)&gt;1,"Duplicate","OK")</f>
        <v>OK</v>
      </c>
      <c r="C113" t="str">
        <f>IF(Raw_Inventory!E113-Raw_Inventory!F113&lt;0,"Error","OK")</f>
        <v>Error</v>
      </c>
      <c r="D113" t="str">
        <f>IF(Raw_Inventory!D113="","Missing","OK")</f>
        <v>OK</v>
      </c>
      <c r="E113" t="str">
        <f t="shared" si="1"/>
        <v>Check Record</v>
      </c>
    </row>
    <row r="114" spans="1:5" x14ac:dyDescent="0.25">
      <c r="A114" t="str">
        <f>Raw_Inventory!A114</f>
        <v>P1113</v>
      </c>
      <c r="B114" t="str">
        <f>IF(COUNTIF(Raw_Inventory!A:A,A114)&gt;1,"Duplicate","OK")</f>
        <v>OK</v>
      </c>
      <c r="C114" t="str">
        <f>IF(Raw_Inventory!E114-Raw_Inventory!F114&lt;0,"Error","OK")</f>
        <v>Error</v>
      </c>
      <c r="D114" t="str">
        <f>IF(Raw_Inventory!D114="","Missing","OK")</f>
        <v>OK</v>
      </c>
      <c r="E114" t="str">
        <f t="shared" si="1"/>
        <v>Check Record</v>
      </c>
    </row>
    <row r="115" spans="1:5" x14ac:dyDescent="0.25">
      <c r="A115" t="str">
        <f>Raw_Inventory!A115</f>
        <v>P1114</v>
      </c>
      <c r="B115" t="str">
        <f>IF(COUNTIF(Raw_Inventory!A:A,A115)&gt;1,"Duplicate","OK")</f>
        <v>OK</v>
      </c>
      <c r="C115" t="str">
        <f>IF(Raw_Inventory!E115-Raw_Inventory!F115&lt;0,"Error","OK")</f>
        <v>OK</v>
      </c>
      <c r="D115" t="str">
        <f>IF(Raw_Inventory!D115="","Missing","OK")</f>
        <v>OK</v>
      </c>
      <c r="E115" t="str">
        <f t="shared" si="1"/>
        <v>Valid</v>
      </c>
    </row>
    <row r="116" spans="1:5" x14ac:dyDescent="0.25">
      <c r="A116" t="str">
        <f>Raw_Inventory!A116</f>
        <v>P1115</v>
      </c>
      <c r="B116" t="str">
        <f>IF(COUNTIF(Raw_Inventory!A:A,A116)&gt;1,"Duplicate","OK")</f>
        <v>OK</v>
      </c>
      <c r="C116" t="str">
        <f>IF(Raw_Inventory!E116-Raw_Inventory!F116&lt;0,"Error","OK")</f>
        <v>Error</v>
      </c>
      <c r="D116" t="str">
        <f>IF(Raw_Inventory!D116="","Missing","OK")</f>
        <v>OK</v>
      </c>
      <c r="E116" t="str">
        <f t="shared" si="1"/>
        <v>Check Record</v>
      </c>
    </row>
    <row r="117" spans="1:5" x14ac:dyDescent="0.25">
      <c r="A117" t="str">
        <f>Raw_Inventory!A117</f>
        <v>P1116</v>
      </c>
      <c r="B117" t="str">
        <f>IF(COUNTIF(Raw_Inventory!A:A,A117)&gt;1,"Duplicate","OK")</f>
        <v>OK</v>
      </c>
      <c r="C117" t="str">
        <f>IF(Raw_Inventory!E117-Raw_Inventory!F117&lt;0,"Error","OK")</f>
        <v>Error</v>
      </c>
      <c r="D117" t="str">
        <f>IF(Raw_Inventory!D117="","Missing","OK")</f>
        <v>OK</v>
      </c>
      <c r="E117" t="str">
        <f t="shared" si="1"/>
        <v>Check Record</v>
      </c>
    </row>
    <row r="118" spans="1:5" x14ac:dyDescent="0.25">
      <c r="A118" t="str">
        <f>Raw_Inventory!A118</f>
        <v>P1117</v>
      </c>
      <c r="B118" t="str">
        <f>IF(COUNTIF(Raw_Inventory!A:A,A118)&gt;1,"Duplicate","OK")</f>
        <v>OK</v>
      </c>
      <c r="C118" t="str">
        <f>IF(Raw_Inventory!E118-Raw_Inventory!F118&lt;0,"Error","OK")</f>
        <v>OK</v>
      </c>
      <c r="D118" t="str">
        <f>IF(Raw_Inventory!D118="","Missing","OK")</f>
        <v>OK</v>
      </c>
      <c r="E118" t="str">
        <f t="shared" si="1"/>
        <v>Valid</v>
      </c>
    </row>
    <row r="119" spans="1:5" x14ac:dyDescent="0.25">
      <c r="A119" t="str">
        <f>Raw_Inventory!A119</f>
        <v>P1118</v>
      </c>
      <c r="B119" t="str">
        <f>IF(COUNTIF(Raw_Inventory!A:A,A119)&gt;1,"Duplicate","OK")</f>
        <v>OK</v>
      </c>
      <c r="C119" t="str">
        <f>IF(Raw_Inventory!E119-Raw_Inventory!F119&lt;0,"Error","OK")</f>
        <v>Error</v>
      </c>
      <c r="D119" t="str">
        <f>IF(Raw_Inventory!D119="","Missing","OK")</f>
        <v>OK</v>
      </c>
      <c r="E119" t="str">
        <f t="shared" si="1"/>
        <v>Check Record</v>
      </c>
    </row>
    <row r="120" spans="1:5" x14ac:dyDescent="0.25">
      <c r="A120" t="str">
        <f>Raw_Inventory!A120</f>
        <v>P1119</v>
      </c>
      <c r="B120" t="str">
        <f>IF(COUNTIF(Raw_Inventory!A:A,A120)&gt;1,"Duplicate","OK")</f>
        <v>OK</v>
      </c>
      <c r="C120" t="str">
        <f>IF(Raw_Inventory!E120-Raw_Inventory!F120&lt;0,"Error","OK")</f>
        <v>OK</v>
      </c>
      <c r="D120" t="str">
        <f>IF(Raw_Inventory!D120="","Missing","OK")</f>
        <v>OK</v>
      </c>
      <c r="E120" t="str">
        <f t="shared" si="1"/>
        <v>Valid</v>
      </c>
    </row>
    <row r="121" spans="1:5" x14ac:dyDescent="0.25">
      <c r="A121" t="str">
        <f>Raw_Inventory!A121</f>
        <v>P1120</v>
      </c>
      <c r="B121" t="str">
        <f>IF(COUNTIF(Raw_Inventory!A:A,A121)&gt;1,"Duplicate","OK")</f>
        <v>OK</v>
      </c>
      <c r="C121" t="str">
        <f>IF(Raw_Inventory!E121-Raw_Inventory!F121&lt;0,"Error","OK")</f>
        <v>OK</v>
      </c>
      <c r="D121" t="str">
        <f>IF(Raw_Inventory!D121="","Missing","OK")</f>
        <v>OK</v>
      </c>
      <c r="E121" t="str">
        <f t="shared" si="1"/>
        <v>Valid</v>
      </c>
    </row>
    <row r="122" spans="1:5" x14ac:dyDescent="0.25">
      <c r="A122" t="str">
        <f>Raw_Inventory!A122</f>
        <v>P1121</v>
      </c>
      <c r="B122" t="str">
        <f>IF(COUNTIF(Raw_Inventory!A:A,A122)&gt;1,"Duplicate","OK")</f>
        <v>OK</v>
      </c>
      <c r="C122" t="str">
        <f>IF(Raw_Inventory!E122-Raw_Inventory!F122&lt;0,"Error","OK")</f>
        <v>OK</v>
      </c>
      <c r="D122" t="str">
        <f>IF(Raw_Inventory!D122="","Missing","OK")</f>
        <v>OK</v>
      </c>
      <c r="E122" t="str">
        <f t="shared" si="1"/>
        <v>Valid</v>
      </c>
    </row>
    <row r="123" spans="1:5" x14ac:dyDescent="0.25">
      <c r="A123" t="str">
        <f>Raw_Inventory!A123</f>
        <v>P1122</v>
      </c>
      <c r="B123" t="str">
        <f>IF(COUNTIF(Raw_Inventory!A:A,A123)&gt;1,"Duplicate","OK")</f>
        <v>OK</v>
      </c>
      <c r="C123" t="str">
        <f>IF(Raw_Inventory!E123-Raw_Inventory!F123&lt;0,"Error","OK")</f>
        <v>OK</v>
      </c>
      <c r="D123" t="str">
        <f>IF(Raw_Inventory!D123="","Missing","OK")</f>
        <v>OK</v>
      </c>
      <c r="E123" t="str">
        <f t="shared" si="1"/>
        <v>Valid</v>
      </c>
    </row>
    <row r="124" spans="1:5" x14ac:dyDescent="0.25">
      <c r="A124" t="str">
        <f>Raw_Inventory!A124</f>
        <v>P1123</v>
      </c>
      <c r="B124" t="str">
        <f>IF(COUNTIF(Raw_Inventory!A:A,A124)&gt;1,"Duplicate","OK")</f>
        <v>OK</v>
      </c>
      <c r="C124" t="str">
        <f>IF(Raw_Inventory!E124-Raw_Inventory!F124&lt;0,"Error","OK")</f>
        <v>OK</v>
      </c>
      <c r="D124" t="str">
        <f>IF(Raw_Inventory!D124="","Missing","OK")</f>
        <v>OK</v>
      </c>
      <c r="E124" t="str">
        <f t="shared" si="1"/>
        <v>Valid</v>
      </c>
    </row>
    <row r="125" spans="1:5" x14ac:dyDescent="0.25">
      <c r="A125" t="str">
        <f>Raw_Inventory!A125</f>
        <v>P1124</v>
      </c>
      <c r="B125" t="str">
        <f>IF(COUNTIF(Raw_Inventory!A:A,A125)&gt;1,"Duplicate","OK")</f>
        <v>OK</v>
      </c>
      <c r="C125" t="str">
        <f>IF(Raw_Inventory!E125-Raw_Inventory!F125&lt;0,"Error","OK")</f>
        <v>OK</v>
      </c>
      <c r="D125" t="str">
        <f>IF(Raw_Inventory!D125="","Missing","OK")</f>
        <v>OK</v>
      </c>
      <c r="E125" t="str">
        <f t="shared" si="1"/>
        <v>Valid</v>
      </c>
    </row>
    <row r="126" spans="1:5" x14ac:dyDescent="0.25">
      <c r="A126" t="str">
        <f>Raw_Inventory!A126</f>
        <v>P1125</v>
      </c>
      <c r="B126" t="str">
        <f>IF(COUNTIF(Raw_Inventory!A:A,A126)&gt;1,"Duplicate","OK")</f>
        <v>OK</v>
      </c>
      <c r="C126" t="str">
        <f>IF(Raw_Inventory!E126-Raw_Inventory!F126&lt;0,"Error","OK")</f>
        <v>Error</v>
      </c>
      <c r="D126" t="str">
        <f>IF(Raw_Inventory!D126="","Missing","OK")</f>
        <v>OK</v>
      </c>
      <c r="E126" t="str">
        <f t="shared" si="1"/>
        <v>Check Record</v>
      </c>
    </row>
    <row r="127" spans="1:5" x14ac:dyDescent="0.25">
      <c r="A127" t="str">
        <f>Raw_Inventory!A127</f>
        <v>P1126</v>
      </c>
      <c r="B127" t="str">
        <f>IF(COUNTIF(Raw_Inventory!A:A,A127)&gt;1,"Duplicate","OK")</f>
        <v>OK</v>
      </c>
      <c r="C127" t="str">
        <f>IF(Raw_Inventory!E127-Raw_Inventory!F127&lt;0,"Error","OK")</f>
        <v>OK</v>
      </c>
      <c r="D127" t="str">
        <f>IF(Raw_Inventory!D127="","Missing","OK")</f>
        <v>OK</v>
      </c>
      <c r="E127" t="str">
        <f t="shared" si="1"/>
        <v>Valid</v>
      </c>
    </row>
    <row r="128" spans="1:5" x14ac:dyDescent="0.25">
      <c r="A128" t="str">
        <f>Raw_Inventory!A128</f>
        <v>P1127</v>
      </c>
      <c r="B128" t="str">
        <f>IF(COUNTIF(Raw_Inventory!A:A,A128)&gt;1,"Duplicate","OK")</f>
        <v>OK</v>
      </c>
      <c r="C128" t="str">
        <f>IF(Raw_Inventory!E128-Raw_Inventory!F128&lt;0,"Error","OK")</f>
        <v>Error</v>
      </c>
      <c r="D128" t="str">
        <f>IF(Raw_Inventory!D128="","Missing","OK")</f>
        <v>OK</v>
      </c>
      <c r="E128" t="str">
        <f t="shared" si="1"/>
        <v>Check Record</v>
      </c>
    </row>
    <row r="129" spans="1:5" x14ac:dyDescent="0.25">
      <c r="A129" t="str">
        <f>Raw_Inventory!A129</f>
        <v>P1128</v>
      </c>
      <c r="B129" t="str">
        <f>IF(COUNTIF(Raw_Inventory!A:A,A129)&gt;1,"Duplicate","OK")</f>
        <v>OK</v>
      </c>
      <c r="C129" t="str">
        <f>IF(Raw_Inventory!E129-Raw_Inventory!F129&lt;0,"Error","OK")</f>
        <v>Error</v>
      </c>
      <c r="D129" t="str">
        <f>IF(Raw_Inventory!D129="","Missing","OK")</f>
        <v>OK</v>
      </c>
      <c r="E129" t="str">
        <f t="shared" si="1"/>
        <v>Check Record</v>
      </c>
    </row>
    <row r="130" spans="1:5" x14ac:dyDescent="0.25">
      <c r="A130" t="str">
        <f>Raw_Inventory!A130</f>
        <v>P1129</v>
      </c>
      <c r="B130" t="str">
        <f>IF(COUNTIF(Raw_Inventory!A:A,A130)&gt;1,"Duplicate","OK")</f>
        <v>OK</v>
      </c>
      <c r="C130" t="str">
        <f>IF(Raw_Inventory!E130-Raw_Inventory!F130&lt;0,"Error","OK")</f>
        <v>OK</v>
      </c>
      <c r="D130" t="str">
        <f>IF(Raw_Inventory!D130="","Missing","OK")</f>
        <v>OK</v>
      </c>
      <c r="E130" t="str">
        <f t="shared" si="1"/>
        <v>Valid</v>
      </c>
    </row>
    <row r="131" spans="1:5" x14ac:dyDescent="0.25">
      <c r="A131" t="str">
        <f>Raw_Inventory!A131</f>
        <v>P1130</v>
      </c>
      <c r="B131" t="str">
        <f>IF(COUNTIF(Raw_Inventory!A:A,A131)&gt;1,"Duplicate","OK")</f>
        <v>OK</v>
      </c>
      <c r="C131" t="str">
        <f>IF(Raw_Inventory!E131-Raw_Inventory!F131&lt;0,"Error","OK")</f>
        <v>Error</v>
      </c>
      <c r="D131" t="str">
        <f>IF(Raw_Inventory!D131="","Missing","OK")</f>
        <v>OK</v>
      </c>
      <c r="E131" t="str">
        <f t="shared" ref="E131:E194" si="2">IF(OR(B131="Duplicate",C131="Error",D131="Missing"),"Check Record","Valid")</f>
        <v>Check Record</v>
      </c>
    </row>
    <row r="132" spans="1:5" x14ac:dyDescent="0.25">
      <c r="A132" t="str">
        <f>Raw_Inventory!A132</f>
        <v>P1131</v>
      </c>
      <c r="B132" t="str">
        <f>IF(COUNTIF(Raw_Inventory!A:A,A132)&gt;1,"Duplicate","OK")</f>
        <v>OK</v>
      </c>
      <c r="C132" t="str">
        <f>IF(Raw_Inventory!E132-Raw_Inventory!F132&lt;0,"Error","OK")</f>
        <v>Error</v>
      </c>
      <c r="D132" t="str">
        <f>IF(Raw_Inventory!D132="","Missing","OK")</f>
        <v>OK</v>
      </c>
      <c r="E132" t="str">
        <f t="shared" si="2"/>
        <v>Check Record</v>
      </c>
    </row>
    <row r="133" spans="1:5" x14ac:dyDescent="0.25">
      <c r="A133" t="str">
        <f>Raw_Inventory!A133</f>
        <v>P1132</v>
      </c>
      <c r="B133" t="str">
        <f>IF(COUNTIF(Raw_Inventory!A:A,A133)&gt;1,"Duplicate","OK")</f>
        <v>OK</v>
      </c>
      <c r="C133" t="str">
        <f>IF(Raw_Inventory!E133-Raw_Inventory!F133&lt;0,"Error","OK")</f>
        <v>OK</v>
      </c>
      <c r="D133" t="str">
        <f>IF(Raw_Inventory!D133="","Missing","OK")</f>
        <v>OK</v>
      </c>
      <c r="E133" t="str">
        <f t="shared" si="2"/>
        <v>Valid</v>
      </c>
    </row>
    <row r="134" spans="1:5" x14ac:dyDescent="0.25">
      <c r="A134" t="str">
        <f>Raw_Inventory!A134</f>
        <v>P1133</v>
      </c>
      <c r="B134" t="str">
        <f>IF(COUNTIF(Raw_Inventory!A:A,A134)&gt;1,"Duplicate","OK")</f>
        <v>OK</v>
      </c>
      <c r="C134" t="str">
        <f>IF(Raw_Inventory!E134-Raw_Inventory!F134&lt;0,"Error","OK")</f>
        <v>OK</v>
      </c>
      <c r="D134" t="str">
        <f>IF(Raw_Inventory!D134="","Missing","OK")</f>
        <v>OK</v>
      </c>
      <c r="E134" t="str">
        <f t="shared" si="2"/>
        <v>Valid</v>
      </c>
    </row>
    <row r="135" spans="1:5" x14ac:dyDescent="0.25">
      <c r="A135" t="str">
        <f>Raw_Inventory!A135</f>
        <v>P1134</v>
      </c>
      <c r="B135" t="str">
        <f>IF(COUNTIF(Raw_Inventory!A:A,A135)&gt;1,"Duplicate","OK")</f>
        <v>OK</v>
      </c>
      <c r="C135" t="str">
        <f>IF(Raw_Inventory!E135-Raw_Inventory!F135&lt;0,"Error","OK")</f>
        <v>OK</v>
      </c>
      <c r="D135" t="str">
        <f>IF(Raw_Inventory!D135="","Missing","OK")</f>
        <v>OK</v>
      </c>
      <c r="E135" t="str">
        <f t="shared" si="2"/>
        <v>Valid</v>
      </c>
    </row>
    <row r="136" spans="1:5" x14ac:dyDescent="0.25">
      <c r="A136" t="str">
        <f>Raw_Inventory!A136</f>
        <v>P1135</v>
      </c>
      <c r="B136" t="str">
        <f>IF(COUNTIF(Raw_Inventory!A:A,A136)&gt;1,"Duplicate","OK")</f>
        <v>OK</v>
      </c>
      <c r="C136" t="str">
        <f>IF(Raw_Inventory!E136-Raw_Inventory!F136&lt;0,"Error","OK")</f>
        <v>OK</v>
      </c>
      <c r="D136" t="str">
        <f>IF(Raw_Inventory!D136="","Missing","OK")</f>
        <v>OK</v>
      </c>
      <c r="E136" t="str">
        <f t="shared" si="2"/>
        <v>Valid</v>
      </c>
    </row>
    <row r="137" spans="1:5" x14ac:dyDescent="0.25">
      <c r="A137" t="str">
        <f>Raw_Inventory!A137</f>
        <v>P1136</v>
      </c>
      <c r="B137" t="str">
        <f>IF(COUNTIF(Raw_Inventory!A:A,A137)&gt;1,"Duplicate","OK")</f>
        <v>OK</v>
      </c>
      <c r="C137" t="str">
        <f>IF(Raw_Inventory!E137-Raw_Inventory!F137&lt;0,"Error","OK")</f>
        <v>OK</v>
      </c>
      <c r="D137" t="str">
        <f>IF(Raw_Inventory!D137="","Missing","OK")</f>
        <v>OK</v>
      </c>
      <c r="E137" t="str">
        <f t="shared" si="2"/>
        <v>Valid</v>
      </c>
    </row>
    <row r="138" spans="1:5" x14ac:dyDescent="0.25">
      <c r="A138" t="str">
        <f>Raw_Inventory!A138</f>
        <v>P1137</v>
      </c>
      <c r="B138" t="str">
        <f>IF(COUNTIF(Raw_Inventory!A:A,A138)&gt;1,"Duplicate","OK")</f>
        <v>OK</v>
      </c>
      <c r="C138" t="str">
        <f>IF(Raw_Inventory!E138-Raw_Inventory!F138&lt;0,"Error","OK")</f>
        <v>Error</v>
      </c>
      <c r="D138" t="str">
        <f>IF(Raw_Inventory!D138="","Missing","OK")</f>
        <v>OK</v>
      </c>
      <c r="E138" t="str">
        <f t="shared" si="2"/>
        <v>Check Record</v>
      </c>
    </row>
    <row r="139" spans="1:5" x14ac:dyDescent="0.25">
      <c r="A139" t="str">
        <f>Raw_Inventory!A139</f>
        <v>P1138</v>
      </c>
      <c r="B139" t="str">
        <f>IF(COUNTIF(Raw_Inventory!A:A,A139)&gt;1,"Duplicate","OK")</f>
        <v>OK</v>
      </c>
      <c r="C139" t="str">
        <f>IF(Raw_Inventory!E139-Raw_Inventory!F139&lt;0,"Error","OK")</f>
        <v>OK</v>
      </c>
      <c r="D139" t="str">
        <f>IF(Raw_Inventory!D139="","Missing","OK")</f>
        <v>OK</v>
      </c>
      <c r="E139" t="str">
        <f t="shared" si="2"/>
        <v>Valid</v>
      </c>
    </row>
    <row r="140" spans="1:5" x14ac:dyDescent="0.25">
      <c r="A140" t="str">
        <f>Raw_Inventory!A140</f>
        <v>P1139</v>
      </c>
      <c r="B140" t="str">
        <f>IF(COUNTIF(Raw_Inventory!A:A,A140)&gt;1,"Duplicate","OK")</f>
        <v>OK</v>
      </c>
      <c r="C140" t="str">
        <f>IF(Raw_Inventory!E140-Raw_Inventory!F140&lt;0,"Error","OK")</f>
        <v>Error</v>
      </c>
      <c r="D140" t="str">
        <f>IF(Raw_Inventory!D140="","Missing","OK")</f>
        <v>OK</v>
      </c>
      <c r="E140" t="str">
        <f t="shared" si="2"/>
        <v>Check Record</v>
      </c>
    </row>
    <row r="141" spans="1:5" x14ac:dyDescent="0.25">
      <c r="A141" t="str">
        <f>Raw_Inventory!A141</f>
        <v>P1140</v>
      </c>
      <c r="B141" t="str">
        <f>IF(COUNTIF(Raw_Inventory!A:A,A141)&gt;1,"Duplicate","OK")</f>
        <v>OK</v>
      </c>
      <c r="C141" t="str">
        <f>IF(Raw_Inventory!E141-Raw_Inventory!F141&lt;0,"Error","OK")</f>
        <v>OK</v>
      </c>
      <c r="D141" t="str">
        <f>IF(Raw_Inventory!D141="","Missing","OK")</f>
        <v>OK</v>
      </c>
      <c r="E141" t="str">
        <f t="shared" si="2"/>
        <v>Valid</v>
      </c>
    </row>
    <row r="142" spans="1:5" x14ac:dyDescent="0.25">
      <c r="A142" t="str">
        <f>Raw_Inventory!A142</f>
        <v>P1141</v>
      </c>
      <c r="B142" t="str">
        <f>IF(COUNTIF(Raw_Inventory!A:A,A142)&gt;1,"Duplicate","OK")</f>
        <v>OK</v>
      </c>
      <c r="C142" t="str">
        <f>IF(Raw_Inventory!E142-Raw_Inventory!F142&lt;0,"Error","OK")</f>
        <v>Error</v>
      </c>
      <c r="D142" t="str">
        <f>IF(Raw_Inventory!D142="","Missing","OK")</f>
        <v>OK</v>
      </c>
      <c r="E142" t="str">
        <f t="shared" si="2"/>
        <v>Check Record</v>
      </c>
    </row>
    <row r="143" spans="1:5" x14ac:dyDescent="0.25">
      <c r="A143" t="str">
        <f>Raw_Inventory!A143</f>
        <v>P1142</v>
      </c>
      <c r="B143" t="str">
        <f>IF(COUNTIF(Raw_Inventory!A:A,A143)&gt;1,"Duplicate","OK")</f>
        <v>OK</v>
      </c>
      <c r="C143" t="str">
        <f>IF(Raw_Inventory!E143-Raw_Inventory!F143&lt;0,"Error","OK")</f>
        <v>OK</v>
      </c>
      <c r="D143" t="str">
        <f>IF(Raw_Inventory!D143="","Missing","OK")</f>
        <v>OK</v>
      </c>
      <c r="E143" t="str">
        <f t="shared" si="2"/>
        <v>Valid</v>
      </c>
    </row>
    <row r="144" spans="1:5" x14ac:dyDescent="0.25">
      <c r="A144" t="str">
        <f>Raw_Inventory!A144</f>
        <v>P1143</v>
      </c>
      <c r="B144" t="str">
        <f>IF(COUNTIF(Raw_Inventory!A:A,A144)&gt;1,"Duplicate","OK")</f>
        <v>OK</v>
      </c>
      <c r="C144" t="str">
        <f>IF(Raw_Inventory!E144-Raw_Inventory!F144&lt;0,"Error","OK")</f>
        <v>Error</v>
      </c>
      <c r="D144" t="str">
        <f>IF(Raw_Inventory!D144="","Missing","OK")</f>
        <v>OK</v>
      </c>
      <c r="E144" t="str">
        <f t="shared" si="2"/>
        <v>Check Record</v>
      </c>
    </row>
    <row r="145" spans="1:5" x14ac:dyDescent="0.25">
      <c r="A145" t="str">
        <f>Raw_Inventory!A145</f>
        <v>P1144</v>
      </c>
      <c r="B145" t="str">
        <f>IF(COUNTIF(Raw_Inventory!A:A,A145)&gt;1,"Duplicate","OK")</f>
        <v>OK</v>
      </c>
      <c r="C145" t="str">
        <f>IF(Raw_Inventory!E145-Raw_Inventory!F145&lt;0,"Error","OK")</f>
        <v>OK</v>
      </c>
      <c r="D145" t="str">
        <f>IF(Raw_Inventory!D145="","Missing","OK")</f>
        <v>OK</v>
      </c>
      <c r="E145" t="str">
        <f t="shared" si="2"/>
        <v>Valid</v>
      </c>
    </row>
    <row r="146" spans="1:5" x14ac:dyDescent="0.25">
      <c r="A146" t="str">
        <f>Raw_Inventory!A146</f>
        <v>P1145</v>
      </c>
      <c r="B146" t="str">
        <f>IF(COUNTIF(Raw_Inventory!A:A,A146)&gt;1,"Duplicate","OK")</f>
        <v>OK</v>
      </c>
      <c r="C146" t="str">
        <f>IF(Raw_Inventory!E146-Raw_Inventory!F146&lt;0,"Error","OK")</f>
        <v>Error</v>
      </c>
      <c r="D146" t="str">
        <f>IF(Raw_Inventory!D146="","Missing","OK")</f>
        <v>OK</v>
      </c>
      <c r="E146" t="str">
        <f t="shared" si="2"/>
        <v>Check Record</v>
      </c>
    </row>
    <row r="147" spans="1:5" x14ac:dyDescent="0.25">
      <c r="A147" t="str">
        <f>Raw_Inventory!A147</f>
        <v>P1146</v>
      </c>
      <c r="B147" t="str">
        <f>IF(COUNTIF(Raw_Inventory!A:A,A147)&gt;1,"Duplicate","OK")</f>
        <v>OK</v>
      </c>
      <c r="C147" t="str">
        <f>IF(Raw_Inventory!E147-Raw_Inventory!F147&lt;0,"Error","OK")</f>
        <v>OK</v>
      </c>
      <c r="D147" t="str">
        <f>IF(Raw_Inventory!D147="","Missing","OK")</f>
        <v>OK</v>
      </c>
      <c r="E147" t="str">
        <f t="shared" si="2"/>
        <v>Valid</v>
      </c>
    </row>
    <row r="148" spans="1:5" x14ac:dyDescent="0.25">
      <c r="A148" t="str">
        <f>Raw_Inventory!A148</f>
        <v>P1147</v>
      </c>
      <c r="B148" t="str">
        <f>IF(COUNTIF(Raw_Inventory!A:A,A148)&gt;1,"Duplicate","OK")</f>
        <v>OK</v>
      </c>
      <c r="C148" t="str">
        <f>IF(Raw_Inventory!E148-Raw_Inventory!F148&lt;0,"Error","OK")</f>
        <v>OK</v>
      </c>
      <c r="D148" t="str">
        <f>IF(Raw_Inventory!D148="","Missing","OK")</f>
        <v>OK</v>
      </c>
      <c r="E148" t="str">
        <f t="shared" si="2"/>
        <v>Valid</v>
      </c>
    </row>
    <row r="149" spans="1:5" x14ac:dyDescent="0.25">
      <c r="A149" t="str">
        <f>Raw_Inventory!A149</f>
        <v>P1148</v>
      </c>
      <c r="B149" t="str">
        <f>IF(COUNTIF(Raw_Inventory!A:A,A149)&gt;1,"Duplicate","OK")</f>
        <v>OK</v>
      </c>
      <c r="C149" t="str">
        <f>IF(Raw_Inventory!E149-Raw_Inventory!F149&lt;0,"Error","OK")</f>
        <v>Error</v>
      </c>
      <c r="D149" t="str">
        <f>IF(Raw_Inventory!D149="","Missing","OK")</f>
        <v>OK</v>
      </c>
      <c r="E149" t="str">
        <f t="shared" si="2"/>
        <v>Check Record</v>
      </c>
    </row>
    <row r="150" spans="1:5" x14ac:dyDescent="0.25">
      <c r="A150" t="str">
        <f>Raw_Inventory!A150</f>
        <v>P1149</v>
      </c>
      <c r="B150" t="str">
        <f>IF(COUNTIF(Raw_Inventory!A:A,A150)&gt;1,"Duplicate","OK")</f>
        <v>OK</v>
      </c>
      <c r="C150" t="str">
        <f>IF(Raw_Inventory!E150-Raw_Inventory!F150&lt;0,"Error","OK")</f>
        <v>OK</v>
      </c>
      <c r="D150" t="str">
        <f>IF(Raw_Inventory!D150="","Missing","OK")</f>
        <v>OK</v>
      </c>
      <c r="E150" t="str">
        <f t="shared" si="2"/>
        <v>Valid</v>
      </c>
    </row>
    <row r="151" spans="1:5" x14ac:dyDescent="0.25">
      <c r="A151" t="str">
        <f>Raw_Inventory!A151</f>
        <v>P1150</v>
      </c>
      <c r="B151" t="str">
        <f>IF(COUNTIF(Raw_Inventory!A:A,A151)&gt;1,"Duplicate","OK")</f>
        <v>OK</v>
      </c>
      <c r="C151" t="str">
        <f>IF(Raw_Inventory!E151-Raw_Inventory!F151&lt;0,"Error","OK")</f>
        <v>Error</v>
      </c>
      <c r="D151" t="str">
        <f>IF(Raw_Inventory!D151="","Missing","OK")</f>
        <v>OK</v>
      </c>
      <c r="E151" t="str">
        <f t="shared" si="2"/>
        <v>Check Record</v>
      </c>
    </row>
    <row r="152" spans="1:5" x14ac:dyDescent="0.25">
      <c r="A152" t="str">
        <f>Raw_Inventory!A152</f>
        <v>P1151</v>
      </c>
      <c r="B152" t="str">
        <f>IF(COUNTIF(Raw_Inventory!A:A,A152)&gt;1,"Duplicate","OK")</f>
        <v>OK</v>
      </c>
      <c r="C152" t="str">
        <f>IF(Raw_Inventory!E152-Raw_Inventory!F152&lt;0,"Error","OK")</f>
        <v>OK</v>
      </c>
      <c r="D152" t="str">
        <f>IF(Raw_Inventory!D152="","Missing","OK")</f>
        <v>OK</v>
      </c>
      <c r="E152" t="str">
        <f t="shared" si="2"/>
        <v>Valid</v>
      </c>
    </row>
    <row r="153" spans="1:5" x14ac:dyDescent="0.25">
      <c r="A153" t="str">
        <f>Raw_Inventory!A153</f>
        <v>P1152</v>
      </c>
      <c r="B153" t="str">
        <f>IF(COUNTIF(Raw_Inventory!A:A,A153)&gt;1,"Duplicate","OK")</f>
        <v>OK</v>
      </c>
      <c r="C153" t="str">
        <f>IF(Raw_Inventory!E153-Raw_Inventory!F153&lt;0,"Error","OK")</f>
        <v>OK</v>
      </c>
      <c r="D153" t="str">
        <f>IF(Raw_Inventory!D153="","Missing","OK")</f>
        <v>OK</v>
      </c>
      <c r="E153" t="str">
        <f t="shared" si="2"/>
        <v>Valid</v>
      </c>
    </row>
    <row r="154" spans="1:5" x14ac:dyDescent="0.25">
      <c r="A154" t="str">
        <f>Raw_Inventory!A154</f>
        <v>P1153</v>
      </c>
      <c r="B154" t="str">
        <f>IF(COUNTIF(Raw_Inventory!A:A,A154)&gt;1,"Duplicate","OK")</f>
        <v>OK</v>
      </c>
      <c r="C154" t="str">
        <f>IF(Raw_Inventory!E154-Raw_Inventory!F154&lt;0,"Error","OK")</f>
        <v>OK</v>
      </c>
      <c r="D154" t="str">
        <f>IF(Raw_Inventory!D154="","Missing","OK")</f>
        <v>OK</v>
      </c>
      <c r="E154" t="str">
        <f t="shared" si="2"/>
        <v>Valid</v>
      </c>
    </row>
    <row r="155" spans="1:5" x14ac:dyDescent="0.25">
      <c r="A155" t="str">
        <f>Raw_Inventory!A155</f>
        <v>P1154</v>
      </c>
      <c r="B155" t="str">
        <f>IF(COUNTIF(Raw_Inventory!A:A,A155)&gt;1,"Duplicate","OK")</f>
        <v>OK</v>
      </c>
      <c r="C155" t="str">
        <f>IF(Raw_Inventory!E155-Raw_Inventory!F155&lt;0,"Error","OK")</f>
        <v>OK</v>
      </c>
      <c r="D155" t="str">
        <f>IF(Raw_Inventory!D155="","Missing","OK")</f>
        <v>OK</v>
      </c>
      <c r="E155" t="str">
        <f t="shared" si="2"/>
        <v>Valid</v>
      </c>
    </row>
    <row r="156" spans="1:5" x14ac:dyDescent="0.25">
      <c r="A156" t="str">
        <f>Raw_Inventory!A156</f>
        <v>P1155</v>
      </c>
      <c r="B156" t="str">
        <f>IF(COUNTIF(Raw_Inventory!A:A,A156)&gt;1,"Duplicate","OK")</f>
        <v>OK</v>
      </c>
      <c r="C156" t="str">
        <f>IF(Raw_Inventory!E156-Raw_Inventory!F156&lt;0,"Error","OK")</f>
        <v>Error</v>
      </c>
      <c r="D156" t="str">
        <f>IF(Raw_Inventory!D156="","Missing","OK")</f>
        <v>OK</v>
      </c>
      <c r="E156" t="str">
        <f t="shared" si="2"/>
        <v>Check Record</v>
      </c>
    </row>
    <row r="157" spans="1:5" x14ac:dyDescent="0.25">
      <c r="A157" t="str">
        <f>Raw_Inventory!A157</f>
        <v>P1156</v>
      </c>
      <c r="B157" t="str">
        <f>IF(COUNTIF(Raw_Inventory!A:A,A157)&gt;1,"Duplicate","OK")</f>
        <v>OK</v>
      </c>
      <c r="C157" t="str">
        <f>IF(Raw_Inventory!E157-Raw_Inventory!F157&lt;0,"Error","OK")</f>
        <v>Error</v>
      </c>
      <c r="D157" t="str">
        <f>IF(Raw_Inventory!D157="","Missing","OK")</f>
        <v>OK</v>
      </c>
      <c r="E157" t="str">
        <f t="shared" si="2"/>
        <v>Check Record</v>
      </c>
    </row>
    <row r="158" spans="1:5" x14ac:dyDescent="0.25">
      <c r="A158" t="str">
        <f>Raw_Inventory!A158</f>
        <v>P1157</v>
      </c>
      <c r="B158" t="str">
        <f>IF(COUNTIF(Raw_Inventory!A:A,A158)&gt;1,"Duplicate","OK")</f>
        <v>OK</v>
      </c>
      <c r="C158" t="str">
        <f>IF(Raw_Inventory!E158-Raw_Inventory!F158&lt;0,"Error","OK")</f>
        <v>OK</v>
      </c>
      <c r="D158" t="str">
        <f>IF(Raw_Inventory!D158="","Missing","OK")</f>
        <v>OK</v>
      </c>
      <c r="E158" t="str">
        <f t="shared" si="2"/>
        <v>Valid</v>
      </c>
    </row>
    <row r="159" spans="1:5" x14ac:dyDescent="0.25">
      <c r="A159" t="str">
        <f>Raw_Inventory!A159</f>
        <v>P1158</v>
      </c>
      <c r="B159" t="str">
        <f>IF(COUNTIF(Raw_Inventory!A:A,A159)&gt;1,"Duplicate","OK")</f>
        <v>OK</v>
      </c>
      <c r="C159" t="str">
        <f>IF(Raw_Inventory!E159-Raw_Inventory!F159&lt;0,"Error","OK")</f>
        <v>OK</v>
      </c>
      <c r="D159" t="str">
        <f>IF(Raw_Inventory!D159="","Missing","OK")</f>
        <v>OK</v>
      </c>
      <c r="E159" t="str">
        <f t="shared" si="2"/>
        <v>Valid</v>
      </c>
    </row>
    <row r="160" spans="1:5" x14ac:dyDescent="0.25">
      <c r="A160" t="str">
        <f>Raw_Inventory!A160</f>
        <v>P1159</v>
      </c>
      <c r="B160" t="str">
        <f>IF(COUNTIF(Raw_Inventory!A:A,A160)&gt;1,"Duplicate","OK")</f>
        <v>OK</v>
      </c>
      <c r="C160" t="str">
        <f>IF(Raw_Inventory!E160-Raw_Inventory!F160&lt;0,"Error","OK")</f>
        <v>OK</v>
      </c>
      <c r="D160" t="str">
        <f>IF(Raw_Inventory!D160="","Missing","OK")</f>
        <v>OK</v>
      </c>
      <c r="E160" t="str">
        <f t="shared" si="2"/>
        <v>Valid</v>
      </c>
    </row>
    <row r="161" spans="1:5" x14ac:dyDescent="0.25">
      <c r="A161" t="str">
        <f>Raw_Inventory!A161</f>
        <v>P1160</v>
      </c>
      <c r="B161" t="str">
        <f>IF(COUNTIF(Raw_Inventory!A:A,A161)&gt;1,"Duplicate","OK")</f>
        <v>OK</v>
      </c>
      <c r="C161" t="str">
        <f>IF(Raw_Inventory!E161-Raw_Inventory!F161&lt;0,"Error","OK")</f>
        <v>Error</v>
      </c>
      <c r="D161" t="str">
        <f>IF(Raw_Inventory!D161="","Missing","OK")</f>
        <v>OK</v>
      </c>
      <c r="E161" t="str">
        <f t="shared" si="2"/>
        <v>Check Record</v>
      </c>
    </row>
    <row r="162" spans="1:5" x14ac:dyDescent="0.25">
      <c r="A162" t="str">
        <f>Raw_Inventory!A162</f>
        <v>P1161</v>
      </c>
      <c r="B162" t="str">
        <f>IF(COUNTIF(Raw_Inventory!A:A,A162)&gt;1,"Duplicate","OK")</f>
        <v>OK</v>
      </c>
      <c r="C162" t="str">
        <f>IF(Raw_Inventory!E162-Raw_Inventory!F162&lt;0,"Error","OK")</f>
        <v>OK</v>
      </c>
      <c r="D162" t="str">
        <f>IF(Raw_Inventory!D162="","Missing","OK")</f>
        <v>OK</v>
      </c>
      <c r="E162" t="str">
        <f t="shared" si="2"/>
        <v>Valid</v>
      </c>
    </row>
    <row r="163" spans="1:5" x14ac:dyDescent="0.25">
      <c r="A163" t="str">
        <f>Raw_Inventory!A163</f>
        <v>P1162</v>
      </c>
      <c r="B163" t="str">
        <f>IF(COUNTIF(Raw_Inventory!A:A,A163)&gt;1,"Duplicate","OK")</f>
        <v>OK</v>
      </c>
      <c r="C163" t="str">
        <f>IF(Raw_Inventory!E163-Raw_Inventory!F163&lt;0,"Error","OK")</f>
        <v>OK</v>
      </c>
      <c r="D163" t="str">
        <f>IF(Raw_Inventory!D163="","Missing","OK")</f>
        <v>OK</v>
      </c>
      <c r="E163" t="str">
        <f t="shared" si="2"/>
        <v>Valid</v>
      </c>
    </row>
    <row r="164" spans="1:5" x14ac:dyDescent="0.25">
      <c r="A164" t="str">
        <f>Raw_Inventory!A164</f>
        <v>P1163</v>
      </c>
      <c r="B164" t="str">
        <f>IF(COUNTIF(Raw_Inventory!A:A,A164)&gt;1,"Duplicate","OK")</f>
        <v>OK</v>
      </c>
      <c r="C164" t="str">
        <f>IF(Raw_Inventory!E164-Raw_Inventory!F164&lt;0,"Error","OK")</f>
        <v>Error</v>
      </c>
      <c r="D164" t="str">
        <f>IF(Raw_Inventory!D164="","Missing","OK")</f>
        <v>OK</v>
      </c>
      <c r="E164" t="str">
        <f t="shared" si="2"/>
        <v>Check Record</v>
      </c>
    </row>
    <row r="165" spans="1:5" x14ac:dyDescent="0.25">
      <c r="A165" t="str">
        <f>Raw_Inventory!A165</f>
        <v>P1164</v>
      </c>
      <c r="B165" t="str">
        <f>IF(COUNTIF(Raw_Inventory!A:A,A165)&gt;1,"Duplicate","OK")</f>
        <v>OK</v>
      </c>
      <c r="C165" t="str">
        <f>IF(Raw_Inventory!E165-Raw_Inventory!F165&lt;0,"Error","OK")</f>
        <v>Error</v>
      </c>
      <c r="D165" t="str">
        <f>IF(Raw_Inventory!D165="","Missing","OK")</f>
        <v>OK</v>
      </c>
      <c r="E165" t="str">
        <f t="shared" si="2"/>
        <v>Check Record</v>
      </c>
    </row>
    <row r="166" spans="1:5" x14ac:dyDescent="0.25">
      <c r="A166" t="str">
        <f>Raw_Inventory!A166</f>
        <v>P1165</v>
      </c>
      <c r="B166" t="str">
        <f>IF(COUNTIF(Raw_Inventory!A:A,A166)&gt;1,"Duplicate","OK")</f>
        <v>OK</v>
      </c>
      <c r="C166" t="str">
        <f>IF(Raw_Inventory!E166-Raw_Inventory!F166&lt;0,"Error","OK")</f>
        <v>OK</v>
      </c>
      <c r="D166" t="str">
        <f>IF(Raw_Inventory!D166="","Missing","OK")</f>
        <v>OK</v>
      </c>
      <c r="E166" t="str">
        <f t="shared" si="2"/>
        <v>Valid</v>
      </c>
    </row>
    <row r="167" spans="1:5" x14ac:dyDescent="0.25">
      <c r="A167" t="str">
        <f>Raw_Inventory!A167</f>
        <v>P1166</v>
      </c>
      <c r="B167" t="str">
        <f>IF(COUNTIF(Raw_Inventory!A:A,A167)&gt;1,"Duplicate","OK")</f>
        <v>OK</v>
      </c>
      <c r="C167" t="str">
        <f>IF(Raw_Inventory!E167-Raw_Inventory!F167&lt;0,"Error","OK")</f>
        <v>OK</v>
      </c>
      <c r="D167" t="str">
        <f>IF(Raw_Inventory!D167="","Missing","OK")</f>
        <v>OK</v>
      </c>
      <c r="E167" t="str">
        <f t="shared" si="2"/>
        <v>Valid</v>
      </c>
    </row>
    <row r="168" spans="1:5" x14ac:dyDescent="0.25">
      <c r="A168" t="str">
        <f>Raw_Inventory!A168</f>
        <v>P1167</v>
      </c>
      <c r="B168" t="str">
        <f>IF(COUNTIF(Raw_Inventory!A:A,A168)&gt;1,"Duplicate","OK")</f>
        <v>OK</v>
      </c>
      <c r="C168" t="str">
        <f>IF(Raw_Inventory!E168-Raw_Inventory!F168&lt;0,"Error","OK")</f>
        <v>OK</v>
      </c>
      <c r="D168" t="str">
        <f>IF(Raw_Inventory!D168="","Missing","OK")</f>
        <v>OK</v>
      </c>
      <c r="E168" t="str">
        <f t="shared" si="2"/>
        <v>Valid</v>
      </c>
    </row>
    <row r="169" spans="1:5" x14ac:dyDescent="0.25">
      <c r="A169" t="str">
        <f>Raw_Inventory!A169</f>
        <v>P1168</v>
      </c>
      <c r="B169" t="str">
        <f>IF(COUNTIF(Raw_Inventory!A:A,A169)&gt;1,"Duplicate","OK")</f>
        <v>OK</v>
      </c>
      <c r="C169" t="str">
        <f>IF(Raw_Inventory!E169-Raw_Inventory!F169&lt;0,"Error","OK")</f>
        <v>Error</v>
      </c>
      <c r="D169" t="str">
        <f>IF(Raw_Inventory!D169="","Missing","OK")</f>
        <v>OK</v>
      </c>
      <c r="E169" t="str">
        <f t="shared" si="2"/>
        <v>Check Record</v>
      </c>
    </row>
    <row r="170" spans="1:5" x14ac:dyDescent="0.25">
      <c r="A170" t="str">
        <f>Raw_Inventory!A170</f>
        <v>P1169</v>
      </c>
      <c r="B170" t="str">
        <f>IF(COUNTIF(Raw_Inventory!A:A,A170)&gt;1,"Duplicate","OK")</f>
        <v>OK</v>
      </c>
      <c r="C170" t="str">
        <f>IF(Raw_Inventory!E170-Raw_Inventory!F170&lt;0,"Error","OK")</f>
        <v>OK</v>
      </c>
      <c r="D170" t="str">
        <f>IF(Raw_Inventory!D170="","Missing","OK")</f>
        <v>OK</v>
      </c>
      <c r="E170" t="str">
        <f t="shared" si="2"/>
        <v>Valid</v>
      </c>
    </row>
    <row r="171" spans="1:5" x14ac:dyDescent="0.25">
      <c r="A171" t="str">
        <f>Raw_Inventory!A171</f>
        <v>P1170</v>
      </c>
      <c r="B171" t="str">
        <f>IF(COUNTIF(Raw_Inventory!A:A,A171)&gt;1,"Duplicate","OK")</f>
        <v>OK</v>
      </c>
      <c r="C171" t="str">
        <f>IF(Raw_Inventory!E171-Raw_Inventory!F171&lt;0,"Error","OK")</f>
        <v>OK</v>
      </c>
      <c r="D171" t="str">
        <f>IF(Raw_Inventory!D171="","Missing","OK")</f>
        <v>OK</v>
      </c>
      <c r="E171" t="str">
        <f t="shared" si="2"/>
        <v>Valid</v>
      </c>
    </row>
    <row r="172" spans="1:5" x14ac:dyDescent="0.25">
      <c r="A172" t="str">
        <f>Raw_Inventory!A172</f>
        <v>P1171</v>
      </c>
      <c r="B172" t="str">
        <f>IF(COUNTIF(Raw_Inventory!A:A,A172)&gt;1,"Duplicate","OK")</f>
        <v>OK</v>
      </c>
      <c r="C172" t="str">
        <f>IF(Raw_Inventory!E172-Raw_Inventory!F172&lt;0,"Error","OK")</f>
        <v>OK</v>
      </c>
      <c r="D172" t="str">
        <f>IF(Raw_Inventory!D172="","Missing","OK")</f>
        <v>OK</v>
      </c>
      <c r="E172" t="str">
        <f t="shared" si="2"/>
        <v>Valid</v>
      </c>
    </row>
    <row r="173" spans="1:5" x14ac:dyDescent="0.25">
      <c r="A173" t="str">
        <f>Raw_Inventory!A173</f>
        <v>P1172</v>
      </c>
      <c r="B173" t="str">
        <f>IF(COUNTIF(Raw_Inventory!A:A,A173)&gt;1,"Duplicate","OK")</f>
        <v>OK</v>
      </c>
      <c r="C173" t="str">
        <f>IF(Raw_Inventory!E173-Raw_Inventory!F173&lt;0,"Error","OK")</f>
        <v>OK</v>
      </c>
      <c r="D173" t="str">
        <f>IF(Raw_Inventory!D173="","Missing","OK")</f>
        <v>OK</v>
      </c>
      <c r="E173" t="str">
        <f t="shared" si="2"/>
        <v>Valid</v>
      </c>
    </row>
    <row r="174" spans="1:5" x14ac:dyDescent="0.25">
      <c r="A174" t="str">
        <f>Raw_Inventory!A174</f>
        <v>P1173</v>
      </c>
      <c r="B174" t="str">
        <f>IF(COUNTIF(Raw_Inventory!A:A,A174)&gt;1,"Duplicate","OK")</f>
        <v>OK</v>
      </c>
      <c r="C174" t="str">
        <f>IF(Raw_Inventory!E174-Raw_Inventory!F174&lt;0,"Error","OK")</f>
        <v>OK</v>
      </c>
      <c r="D174" t="str">
        <f>IF(Raw_Inventory!D174="","Missing","OK")</f>
        <v>OK</v>
      </c>
      <c r="E174" t="str">
        <f t="shared" si="2"/>
        <v>Valid</v>
      </c>
    </row>
    <row r="175" spans="1:5" x14ac:dyDescent="0.25">
      <c r="A175" t="str">
        <f>Raw_Inventory!A175</f>
        <v>P1174</v>
      </c>
      <c r="B175" t="str">
        <f>IF(COUNTIF(Raw_Inventory!A:A,A175)&gt;1,"Duplicate","OK")</f>
        <v>OK</v>
      </c>
      <c r="C175" t="str">
        <f>IF(Raw_Inventory!E175-Raw_Inventory!F175&lt;0,"Error","OK")</f>
        <v>OK</v>
      </c>
      <c r="D175" t="str">
        <f>IF(Raw_Inventory!D175="","Missing","OK")</f>
        <v>OK</v>
      </c>
      <c r="E175" t="str">
        <f t="shared" si="2"/>
        <v>Valid</v>
      </c>
    </row>
    <row r="176" spans="1:5" x14ac:dyDescent="0.25">
      <c r="A176" t="str">
        <f>Raw_Inventory!A176</f>
        <v>P1175</v>
      </c>
      <c r="B176" t="str">
        <f>IF(COUNTIF(Raw_Inventory!A:A,A176)&gt;1,"Duplicate","OK")</f>
        <v>OK</v>
      </c>
      <c r="C176" t="str">
        <f>IF(Raw_Inventory!E176-Raw_Inventory!F176&lt;0,"Error","OK")</f>
        <v>Error</v>
      </c>
      <c r="D176" t="str">
        <f>IF(Raw_Inventory!D176="","Missing","OK")</f>
        <v>OK</v>
      </c>
      <c r="E176" t="str">
        <f t="shared" si="2"/>
        <v>Check Record</v>
      </c>
    </row>
    <row r="177" spans="1:5" x14ac:dyDescent="0.25">
      <c r="A177" t="str">
        <f>Raw_Inventory!A177</f>
        <v>P1176</v>
      </c>
      <c r="B177" t="str">
        <f>IF(COUNTIF(Raw_Inventory!A:A,A177)&gt;1,"Duplicate","OK")</f>
        <v>OK</v>
      </c>
      <c r="C177" t="str">
        <f>IF(Raw_Inventory!E177-Raw_Inventory!F177&lt;0,"Error","OK")</f>
        <v>OK</v>
      </c>
      <c r="D177" t="str">
        <f>IF(Raw_Inventory!D177="","Missing","OK")</f>
        <v>OK</v>
      </c>
      <c r="E177" t="str">
        <f t="shared" si="2"/>
        <v>Valid</v>
      </c>
    </row>
    <row r="178" spans="1:5" x14ac:dyDescent="0.25">
      <c r="A178" t="str">
        <f>Raw_Inventory!A178</f>
        <v>P1177</v>
      </c>
      <c r="B178" t="str">
        <f>IF(COUNTIF(Raw_Inventory!A:A,A178)&gt;1,"Duplicate","OK")</f>
        <v>OK</v>
      </c>
      <c r="C178" t="str">
        <f>IF(Raw_Inventory!E178-Raw_Inventory!F178&lt;0,"Error","OK")</f>
        <v>Error</v>
      </c>
      <c r="D178" t="str">
        <f>IF(Raw_Inventory!D178="","Missing","OK")</f>
        <v>OK</v>
      </c>
      <c r="E178" t="str">
        <f t="shared" si="2"/>
        <v>Check Record</v>
      </c>
    </row>
    <row r="179" spans="1:5" x14ac:dyDescent="0.25">
      <c r="A179" t="str">
        <f>Raw_Inventory!A179</f>
        <v>P1178</v>
      </c>
      <c r="B179" t="str">
        <f>IF(COUNTIF(Raw_Inventory!A:A,A179)&gt;1,"Duplicate","OK")</f>
        <v>OK</v>
      </c>
      <c r="C179" t="str">
        <f>IF(Raw_Inventory!E179-Raw_Inventory!F179&lt;0,"Error","OK")</f>
        <v>OK</v>
      </c>
      <c r="D179" t="str">
        <f>IF(Raw_Inventory!D179="","Missing","OK")</f>
        <v>OK</v>
      </c>
      <c r="E179" t="str">
        <f t="shared" si="2"/>
        <v>Valid</v>
      </c>
    </row>
    <row r="180" spans="1:5" x14ac:dyDescent="0.25">
      <c r="A180" t="str">
        <f>Raw_Inventory!A180</f>
        <v>P1179</v>
      </c>
      <c r="B180" t="str">
        <f>IF(COUNTIF(Raw_Inventory!A:A,A180)&gt;1,"Duplicate","OK")</f>
        <v>OK</v>
      </c>
      <c r="C180" t="str">
        <f>IF(Raw_Inventory!E180-Raw_Inventory!F180&lt;0,"Error","OK")</f>
        <v>OK</v>
      </c>
      <c r="D180" t="str">
        <f>IF(Raw_Inventory!D180="","Missing","OK")</f>
        <v>OK</v>
      </c>
      <c r="E180" t="str">
        <f t="shared" si="2"/>
        <v>Valid</v>
      </c>
    </row>
    <row r="181" spans="1:5" x14ac:dyDescent="0.25">
      <c r="A181" t="str">
        <f>Raw_Inventory!A181</f>
        <v>P1180</v>
      </c>
      <c r="B181" t="str">
        <f>IF(COUNTIF(Raw_Inventory!A:A,A181)&gt;1,"Duplicate","OK")</f>
        <v>OK</v>
      </c>
      <c r="C181" t="str">
        <f>IF(Raw_Inventory!E181-Raw_Inventory!F181&lt;0,"Error","OK")</f>
        <v>OK</v>
      </c>
      <c r="D181" t="str">
        <f>IF(Raw_Inventory!D181="","Missing","OK")</f>
        <v>OK</v>
      </c>
      <c r="E181" t="str">
        <f t="shared" si="2"/>
        <v>Valid</v>
      </c>
    </row>
    <row r="182" spans="1:5" x14ac:dyDescent="0.25">
      <c r="A182" t="str">
        <f>Raw_Inventory!A182</f>
        <v>P1181</v>
      </c>
      <c r="B182" t="str">
        <f>IF(COUNTIF(Raw_Inventory!A:A,A182)&gt;1,"Duplicate","OK")</f>
        <v>OK</v>
      </c>
      <c r="C182" t="str">
        <f>IF(Raw_Inventory!E182-Raw_Inventory!F182&lt;0,"Error","OK")</f>
        <v>Error</v>
      </c>
      <c r="D182" t="str">
        <f>IF(Raw_Inventory!D182="","Missing","OK")</f>
        <v>OK</v>
      </c>
      <c r="E182" t="str">
        <f t="shared" si="2"/>
        <v>Check Record</v>
      </c>
    </row>
    <row r="183" spans="1:5" x14ac:dyDescent="0.25">
      <c r="A183" t="str">
        <f>Raw_Inventory!A183</f>
        <v>P1182</v>
      </c>
      <c r="B183" t="str">
        <f>IF(COUNTIF(Raw_Inventory!A:A,A183)&gt;1,"Duplicate","OK")</f>
        <v>OK</v>
      </c>
      <c r="C183" t="str">
        <f>IF(Raw_Inventory!E183-Raw_Inventory!F183&lt;0,"Error","OK")</f>
        <v>Error</v>
      </c>
      <c r="D183" t="str">
        <f>IF(Raw_Inventory!D183="","Missing","OK")</f>
        <v>OK</v>
      </c>
      <c r="E183" t="str">
        <f t="shared" si="2"/>
        <v>Check Record</v>
      </c>
    </row>
    <row r="184" spans="1:5" x14ac:dyDescent="0.25">
      <c r="A184" t="str">
        <f>Raw_Inventory!A184</f>
        <v>P1183</v>
      </c>
      <c r="B184" t="str">
        <f>IF(COUNTIF(Raw_Inventory!A:A,A184)&gt;1,"Duplicate","OK")</f>
        <v>OK</v>
      </c>
      <c r="C184" t="str">
        <f>IF(Raw_Inventory!E184-Raw_Inventory!F184&lt;0,"Error","OK")</f>
        <v>OK</v>
      </c>
      <c r="D184" t="str">
        <f>IF(Raw_Inventory!D184="","Missing","OK")</f>
        <v>OK</v>
      </c>
      <c r="E184" t="str">
        <f t="shared" si="2"/>
        <v>Valid</v>
      </c>
    </row>
    <row r="185" spans="1:5" x14ac:dyDescent="0.25">
      <c r="A185" t="str">
        <f>Raw_Inventory!A185</f>
        <v>P1184</v>
      </c>
      <c r="B185" t="str">
        <f>IF(COUNTIF(Raw_Inventory!A:A,A185)&gt;1,"Duplicate","OK")</f>
        <v>OK</v>
      </c>
      <c r="C185" t="str">
        <f>IF(Raw_Inventory!E185-Raw_Inventory!F185&lt;0,"Error","OK")</f>
        <v>OK</v>
      </c>
      <c r="D185" t="str">
        <f>IF(Raw_Inventory!D185="","Missing","OK")</f>
        <v>OK</v>
      </c>
      <c r="E185" t="str">
        <f t="shared" si="2"/>
        <v>Valid</v>
      </c>
    </row>
    <row r="186" spans="1:5" x14ac:dyDescent="0.25">
      <c r="A186" t="str">
        <f>Raw_Inventory!A186</f>
        <v>P1185</v>
      </c>
      <c r="B186" t="str">
        <f>IF(COUNTIF(Raw_Inventory!A:A,A186)&gt;1,"Duplicate","OK")</f>
        <v>OK</v>
      </c>
      <c r="C186" t="str">
        <f>IF(Raw_Inventory!E186-Raw_Inventory!F186&lt;0,"Error","OK")</f>
        <v>OK</v>
      </c>
      <c r="D186" t="str">
        <f>IF(Raw_Inventory!D186="","Missing","OK")</f>
        <v>OK</v>
      </c>
      <c r="E186" t="str">
        <f t="shared" si="2"/>
        <v>Valid</v>
      </c>
    </row>
    <row r="187" spans="1:5" x14ac:dyDescent="0.25">
      <c r="A187" t="str">
        <f>Raw_Inventory!A187</f>
        <v>P1186</v>
      </c>
      <c r="B187" t="str">
        <f>IF(COUNTIF(Raw_Inventory!A:A,A187)&gt;1,"Duplicate","OK")</f>
        <v>OK</v>
      </c>
      <c r="C187" t="str">
        <f>IF(Raw_Inventory!E187-Raw_Inventory!F187&lt;0,"Error","OK")</f>
        <v>OK</v>
      </c>
      <c r="D187" t="str">
        <f>IF(Raw_Inventory!D187="","Missing","OK")</f>
        <v>OK</v>
      </c>
      <c r="E187" t="str">
        <f t="shared" si="2"/>
        <v>Valid</v>
      </c>
    </row>
    <row r="188" spans="1:5" x14ac:dyDescent="0.25">
      <c r="A188" t="str">
        <f>Raw_Inventory!A188</f>
        <v>P1187</v>
      </c>
      <c r="B188" t="str">
        <f>IF(COUNTIF(Raw_Inventory!A:A,A188)&gt;1,"Duplicate","OK")</f>
        <v>OK</v>
      </c>
      <c r="C188" t="str">
        <f>IF(Raw_Inventory!E188-Raw_Inventory!F188&lt;0,"Error","OK")</f>
        <v>OK</v>
      </c>
      <c r="D188" t="str">
        <f>IF(Raw_Inventory!D188="","Missing","OK")</f>
        <v>OK</v>
      </c>
      <c r="E188" t="str">
        <f t="shared" si="2"/>
        <v>Valid</v>
      </c>
    </row>
    <row r="189" spans="1:5" x14ac:dyDescent="0.25">
      <c r="A189" t="str">
        <f>Raw_Inventory!A189</f>
        <v>P1188</v>
      </c>
      <c r="B189" t="str">
        <f>IF(COUNTIF(Raw_Inventory!A:A,A189)&gt;1,"Duplicate","OK")</f>
        <v>OK</v>
      </c>
      <c r="C189" t="str">
        <f>IF(Raw_Inventory!E189-Raw_Inventory!F189&lt;0,"Error","OK")</f>
        <v>Error</v>
      </c>
      <c r="D189" t="str">
        <f>IF(Raw_Inventory!D189="","Missing","OK")</f>
        <v>OK</v>
      </c>
      <c r="E189" t="str">
        <f t="shared" si="2"/>
        <v>Check Record</v>
      </c>
    </row>
    <row r="190" spans="1:5" x14ac:dyDescent="0.25">
      <c r="A190" t="str">
        <f>Raw_Inventory!A190</f>
        <v>P1189</v>
      </c>
      <c r="B190" t="str">
        <f>IF(COUNTIF(Raw_Inventory!A:A,A190)&gt;1,"Duplicate","OK")</f>
        <v>OK</v>
      </c>
      <c r="C190" t="str">
        <f>IF(Raw_Inventory!E190-Raw_Inventory!F190&lt;0,"Error","OK")</f>
        <v>Error</v>
      </c>
      <c r="D190" t="str">
        <f>IF(Raw_Inventory!D190="","Missing","OK")</f>
        <v>OK</v>
      </c>
      <c r="E190" t="str">
        <f t="shared" si="2"/>
        <v>Check Record</v>
      </c>
    </row>
    <row r="191" spans="1:5" x14ac:dyDescent="0.25">
      <c r="A191" t="str">
        <f>Raw_Inventory!A191</f>
        <v>P1190</v>
      </c>
      <c r="B191" t="str">
        <f>IF(COUNTIF(Raw_Inventory!A:A,A191)&gt;1,"Duplicate","OK")</f>
        <v>OK</v>
      </c>
      <c r="C191" t="str">
        <f>IF(Raw_Inventory!E191-Raw_Inventory!F191&lt;0,"Error","OK")</f>
        <v>OK</v>
      </c>
      <c r="D191" t="str">
        <f>IF(Raw_Inventory!D191="","Missing","OK")</f>
        <v>OK</v>
      </c>
      <c r="E191" t="str">
        <f t="shared" si="2"/>
        <v>Valid</v>
      </c>
    </row>
    <row r="192" spans="1:5" x14ac:dyDescent="0.25">
      <c r="A192" t="str">
        <f>Raw_Inventory!A192</f>
        <v>P1191</v>
      </c>
      <c r="B192" t="str">
        <f>IF(COUNTIF(Raw_Inventory!A:A,A192)&gt;1,"Duplicate","OK")</f>
        <v>OK</v>
      </c>
      <c r="C192" t="str">
        <f>IF(Raw_Inventory!E192-Raw_Inventory!F192&lt;0,"Error","OK")</f>
        <v>OK</v>
      </c>
      <c r="D192" t="str">
        <f>IF(Raw_Inventory!D192="","Missing","OK")</f>
        <v>OK</v>
      </c>
      <c r="E192" t="str">
        <f t="shared" si="2"/>
        <v>Valid</v>
      </c>
    </row>
    <row r="193" spans="1:5" x14ac:dyDescent="0.25">
      <c r="A193" t="str">
        <f>Raw_Inventory!A193</f>
        <v>P1192</v>
      </c>
      <c r="B193" t="str">
        <f>IF(COUNTIF(Raw_Inventory!A:A,A193)&gt;1,"Duplicate","OK")</f>
        <v>OK</v>
      </c>
      <c r="C193" t="str">
        <f>IF(Raw_Inventory!E193-Raw_Inventory!F193&lt;0,"Error","OK")</f>
        <v>Error</v>
      </c>
      <c r="D193" t="str">
        <f>IF(Raw_Inventory!D193="","Missing","OK")</f>
        <v>OK</v>
      </c>
      <c r="E193" t="str">
        <f t="shared" si="2"/>
        <v>Check Record</v>
      </c>
    </row>
    <row r="194" spans="1:5" x14ac:dyDescent="0.25">
      <c r="A194" t="str">
        <f>Raw_Inventory!A194</f>
        <v>P1193</v>
      </c>
      <c r="B194" t="str">
        <f>IF(COUNTIF(Raw_Inventory!A:A,A194)&gt;1,"Duplicate","OK")</f>
        <v>OK</v>
      </c>
      <c r="C194" t="str">
        <f>IF(Raw_Inventory!E194-Raw_Inventory!F194&lt;0,"Error","OK")</f>
        <v>OK</v>
      </c>
      <c r="D194" t="str">
        <f>IF(Raw_Inventory!D194="","Missing","OK")</f>
        <v>OK</v>
      </c>
      <c r="E194" t="str">
        <f t="shared" si="2"/>
        <v>Valid</v>
      </c>
    </row>
    <row r="195" spans="1:5" x14ac:dyDescent="0.25">
      <c r="A195" t="str">
        <f>Raw_Inventory!A195</f>
        <v>P1194</v>
      </c>
      <c r="B195" t="str">
        <f>IF(COUNTIF(Raw_Inventory!A:A,A195)&gt;1,"Duplicate","OK")</f>
        <v>OK</v>
      </c>
      <c r="C195" t="str">
        <f>IF(Raw_Inventory!E195-Raw_Inventory!F195&lt;0,"Error","OK")</f>
        <v>OK</v>
      </c>
      <c r="D195" t="str">
        <f>IF(Raw_Inventory!D195="","Missing","OK")</f>
        <v>OK</v>
      </c>
      <c r="E195" t="str">
        <f t="shared" ref="E195:E258" si="3">IF(OR(B195="Duplicate",C195="Error",D195="Missing"),"Check Record","Valid")</f>
        <v>Valid</v>
      </c>
    </row>
    <row r="196" spans="1:5" x14ac:dyDescent="0.25">
      <c r="A196" t="str">
        <f>Raw_Inventory!A196</f>
        <v>P1195</v>
      </c>
      <c r="B196" t="str">
        <f>IF(COUNTIF(Raw_Inventory!A:A,A196)&gt;1,"Duplicate","OK")</f>
        <v>OK</v>
      </c>
      <c r="C196" t="str">
        <f>IF(Raw_Inventory!E196-Raw_Inventory!F196&lt;0,"Error","OK")</f>
        <v>OK</v>
      </c>
      <c r="D196" t="str">
        <f>IF(Raw_Inventory!D196="","Missing","OK")</f>
        <v>OK</v>
      </c>
      <c r="E196" t="str">
        <f t="shared" si="3"/>
        <v>Valid</v>
      </c>
    </row>
    <row r="197" spans="1:5" x14ac:dyDescent="0.25">
      <c r="A197" t="str">
        <f>Raw_Inventory!A197</f>
        <v>P1196</v>
      </c>
      <c r="B197" t="str">
        <f>IF(COUNTIF(Raw_Inventory!A:A,A197)&gt;1,"Duplicate","OK")</f>
        <v>OK</v>
      </c>
      <c r="C197" t="str">
        <f>IF(Raw_Inventory!E197-Raw_Inventory!F197&lt;0,"Error","OK")</f>
        <v>OK</v>
      </c>
      <c r="D197" t="str">
        <f>IF(Raw_Inventory!D197="","Missing","OK")</f>
        <v>OK</v>
      </c>
      <c r="E197" t="str">
        <f t="shared" si="3"/>
        <v>Valid</v>
      </c>
    </row>
    <row r="198" spans="1:5" x14ac:dyDescent="0.25">
      <c r="A198" t="str">
        <f>Raw_Inventory!A198</f>
        <v>P1197</v>
      </c>
      <c r="B198" t="str">
        <f>IF(COUNTIF(Raw_Inventory!A:A,A198)&gt;1,"Duplicate","OK")</f>
        <v>OK</v>
      </c>
      <c r="C198" t="str">
        <f>IF(Raw_Inventory!E198-Raw_Inventory!F198&lt;0,"Error","OK")</f>
        <v>OK</v>
      </c>
      <c r="D198" t="str">
        <f>IF(Raw_Inventory!D198="","Missing","OK")</f>
        <v>OK</v>
      </c>
      <c r="E198" t="str">
        <f t="shared" si="3"/>
        <v>Valid</v>
      </c>
    </row>
    <row r="199" spans="1:5" x14ac:dyDescent="0.25">
      <c r="A199" t="str">
        <f>Raw_Inventory!A199</f>
        <v>P1198</v>
      </c>
      <c r="B199" t="str">
        <f>IF(COUNTIF(Raw_Inventory!A:A,A199)&gt;1,"Duplicate","OK")</f>
        <v>OK</v>
      </c>
      <c r="C199" t="str">
        <f>IF(Raw_Inventory!E199-Raw_Inventory!F199&lt;0,"Error","OK")</f>
        <v>OK</v>
      </c>
      <c r="D199" t="str">
        <f>IF(Raw_Inventory!D199="","Missing","OK")</f>
        <v>OK</v>
      </c>
      <c r="E199" t="str">
        <f t="shared" si="3"/>
        <v>Valid</v>
      </c>
    </row>
    <row r="200" spans="1:5" x14ac:dyDescent="0.25">
      <c r="A200" t="str">
        <f>Raw_Inventory!A200</f>
        <v>P1199</v>
      </c>
      <c r="B200" t="str">
        <f>IF(COUNTIF(Raw_Inventory!A:A,A200)&gt;1,"Duplicate","OK")</f>
        <v>OK</v>
      </c>
      <c r="C200" t="str">
        <f>IF(Raw_Inventory!E200-Raw_Inventory!F200&lt;0,"Error","OK")</f>
        <v>OK</v>
      </c>
      <c r="D200" t="str">
        <f>IF(Raw_Inventory!D200="","Missing","OK")</f>
        <v>OK</v>
      </c>
      <c r="E200" t="str">
        <f t="shared" si="3"/>
        <v>Valid</v>
      </c>
    </row>
    <row r="201" spans="1:5" x14ac:dyDescent="0.25">
      <c r="A201" t="str">
        <f>Raw_Inventory!A201</f>
        <v>P1200</v>
      </c>
      <c r="B201" t="str">
        <f>IF(COUNTIF(Raw_Inventory!A:A,A201)&gt;1,"Duplicate","OK")</f>
        <v>OK</v>
      </c>
      <c r="C201" t="str">
        <f>IF(Raw_Inventory!E201-Raw_Inventory!F201&lt;0,"Error","OK")</f>
        <v>OK</v>
      </c>
      <c r="D201" t="str">
        <f>IF(Raw_Inventory!D201="","Missing","OK")</f>
        <v>OK</v>
      </c>
      <c r="E201" t="str">
        <f t="shared" si="3"/>
        <v>Valid</v>
      </c>
    </row>
    <row r="202" spans="1:5" x14ac:dyDescent="0.25">
      <c r="A202" t="str">
        <f>Raw_Inventory!A202</f>
        <v>P1201</v>
      </c>
      <c r="B202" t="str">
        <f>IF(COUNTIF(Raw_Inventory!A:A,A202)&gt;1,"Duplicate","OK")</f>
        <v>OK</v>
      </c>
      <c r="C202" t="str">
        <f>IF(Raw_Inventory!E202-Raw_Inventory!F202&lt;0,"Error","OK")</f>
        <v>OK</v>
      </c>
      <c r="D202" t="str">
        <f>IF(Raw_Inventory!D202="","Missing","OK")</f>
        <v>OK</v>
      </c>
      <c r="E202" t="str">
        <f t="shared" si="3"/>
        <v>Valid</v>
      </c>
    </row>
    <row r="203" spans="1:5" x14ac:dyDescent="0.25">
      <c r="A203" t="str">
        <f>Raw_Inventory!A203</f>
        <v>P1202</v>
      </c>
      <c r="B203" t="str">
        <f>IF(COUNTIF(Raw_Inventory!A:A,A203)&gt;1,"Duplicate","OK")</f>
        <v>OK</v>
      </c>
      <c r="C203" t="str">
        <f>IF(Raw_Inventory!E203-Raw_Inventory!F203&lt;0,"Error","OK")</f>
        <v>Error</v>
      </c>
      <c r="D203" t="str">
        <f>IF(Raw_Inventory!D203="","Missing","OK")</f>
        <v>OK</v>
      </c>
      <c r="E203" t="str">
        <f t="shared" si="3"/>
        <v>Check Record</v>
      </c>
    </row>
    <row r="204" spans="1:5" x14ac:dyDescent="0.25">
      <c r="A204" t="str">
        <f>Raw_Inventory!A204</f>
        <v>P1203</v>
      </c>
      <c r="B204" t="str">
        <f>IF(COUNTIF(Raw_Inventory!A:A,A204)&gt;1,"Duplicate","OK")</f>
        <v>OK</v>
      </c>
      <c r="C204" t="str">
        <f>IF(Raw_Inventory!E204-Raw_Inventory!F204&lt;0,"Error","OK")</f>
        <v>OK</v>
      </c>
      <c r="D204" t="str">
        <f>IF(Raw_Inventory!D204="","Missing","OK")</f>
        <v>OK</v>
      </c>
      <c r="E204" t="str">
        <f t="shared" si="3"/>
        <v>Valid</v>
      </c>
    </row>
    <row r="205" spans="1:5" x14ac:dyDescent="0.25">
      <c r="A205" t="str">
        <f>Raw_Inventory!A205</f>
        <v>P1204</v>
      </c>
      <c r="B205" t="str">
        <f>IF(COUNTIF(Raw_Inventory!A:A,A205)&gt;1,"Duplicate","OK")</f>
        <v>OK</v>
      </c>
      <c r="C205" t="str">
        <f>IF(Raw_Inventory!E205-Raw_Inventory!F205&lt;0,"Error","OK")</f>
        <v>OK</v>
      </c>
      <c r="D205" t="str">
        <f>IF(Raw_Inventory!D205="","Missing","OK")</f>
        <v>OK</v>
      </c>
      <c r="E205" t="str">
        <f t="shared" si="3"/>
        <v>Valid</v>
      </c>
    </row>
    <row r="206" spans="1:5" x14ac:dyDescent="0.25">
      <c r="A206" t="str">
        <f>Raw_Inventory!A206</f>
        <v>P1205</v>
      </c>
      <c r="B206" t="str">
        <f>IF(COUNTIF(Raw_Inventory!A:A,A206)&gt;1,"Duplicate","OK")</f>
        <v>OK</v>
      </c>
      <c r="C206" t="str">
        <f>IF(Raw_Inventory!E206-Raw_Inventory!F206&lt;0,"Error","OK")</f>
        <v>OK</v>
      </c>
      <c r="D206" t="str">
        <f>IF(Raw_Inventory!D206="","Missing","OK")</f>
        <v>OK</v>
      </c>
      <c r="E206" t="str">
        <f t="shared" si="3"/>
        <v>Valid</v>
      </c>
    </row>
    <row r="207" spans="1:5" x14ac:dyDescent="0.25">
      <c r="A207" t="str">
        <f>Raw_Inventory!A207</f>
        <v>P1206</v>
      </c>
      <c r="B207" t="str">
        <f>IF(COUNTIF(Raw_Inventory!A:A,A207)&gt;1,"Duplicate","OK")</f>
        <v>OK</v>
      </c>
      <c r="C207" t="str">
        <f>IF(Raw_Inventory!E207-Raw_Inventory!F207&lt;0,"Error","OK")</f>
        <v>OK</v>
      </c>
      <c r="D207" t="str">
        <f>IF(Raw_Inventory!D207="","Missing","OK")</f>
        <v>OK</v>
      </c>
      <c r="E207" t="str">
        <f t="shared" si="3"/>
        <v>Valid</v>
      </c>
    </row>
    <row r="208" spans="1:5" x14ac:dyDescent="0.25">
      <c r="A208" t="str">
        <f>Raw_Inventory!A208</f>
        <v>P1207</v>
      </c>
      <c r="B208" t="str">
        <f>IF(COUNTIF(Raw_Inventory!A:A,A208)&gt;1,"Duplicate","OK")</f>
        <v>OK</v>
      </c>
      <c r="C208" t="str">
        <f>IF(Raw_Inventory!E208-Raw_Inventory!F208&lt;0,"Error","OK")</f>
        <v>OK</v>
      </c>
      <c r="D208" t="str">
        <f>IF(Raw_Inventory!D208="","Missing","OK")</f>
        <v>OK</v>
      </c>
      <c r="E208" t="str">
        <f t="shared" si="3"/>
        <v>Valid</v>
      </c>
    </row>
    <row r="209" spans="1:5" x14ac:dyDescent="0.25">
      <c r="A209" t="str">
        <f>Raw_Inventory!A209</f>
        <v>P1208</v>
      </c>
      <c r="B209" t="str">
        <f>IF(COUNTIF(Raw_Inventory!A:A,A209)&gt;1,"Duplicate","OK")</f>
        <v>OK</v>
      </c>
      <c r="C209" t="str">
        <f>IF(Raw_Inventory!E209-Raw_Inventory!F209&lt;0,"Error","OK")</f>
        <v>OK</v>
      </c>
      <c r="D209" t="str">
        <f>IF(Raw_Inventory!D209="","Missing","OK")</f>
        <v>OK</v>
      </c>
      <c r="E209" t="str">
        <f t="shared" si="3"/>
        <v>Valid</v>
      </c>
    </row>
    <row r="210" spans="1:5" x14ac:dyDescent="0.25">
      <c r="A210" t="str">
        <f>Raw_Inventory!A210</f>
        <v>P1209</v>
      </c>
      <c r="B210" t="str">
        <f>IF(COUNTIF(Raw_Inventory!A:A,A210)&gt;1,"Duplicate","OK")</f>
        <v>OK</v>
      </c>
      <c r="C210" t="str">
        <f>IF(Raw_Inventory!E210-Raw_Inventory!F210&lt;0,"Error","OK")</f>
        <v>OK</v>
      </c>
      <c r="D210" t="str">
        <f>IF(Raw_Inventory!D210="","Missing","OK")</f>
        <v>OK</v>
      </c>
      <c r="E210" t="str">
        <f t="shared" si="3"/>
        <v>Valid</v>
      </c>
    </row>
    <row r="211" spans="1:5" x14ac:dyDescent="0.25">
      <c r="A211" t="str">
        <f>Raw_Inventory!A211</f>
        <v>P1210</v>
      </c>
      <c r="B211" t="str">
        <f>IF(COUNTIF(Raw_Inventory!A:A,A211)&gt;1,"Duplicate","OK")</f>
        <v>OK</v>
      </c>
      <c r="C211" t="str">
        <f>IF(Raw_Inventory!E211-Raw_Inventory!F211&lt;0,"Error","OK")</f>
        <v>OK</v>
      </c>
      <c r="D211" t="str">
        <f>IF(Raw_Inventory!D211="","Missing","OK")</f>
        <v>OK</v>
      </c>
      <c r="E211" t="str">
        <f t="shared" si="3"/>
        <v>Valid</v>
      </c>
    </row>
    <row r="212" spans="1:5" x14ac:dyDescent="0.25">
      <c r="A212" t="str">
        <f>Raw_Inventory!A212</f>
        <v>P1211</v>
      </c>
      <c r="B212" t="str">
        <f>IF(COUNTIF(Raw_Inventory!A:A,A212)&gt;1,"Duplicate","OK")</f>
        <v>OK</v>
      </c>
      <c r="C212" t="str">
        <f>IF(Raw_Inventory!E212-Raw_Inventory!F212&lt;0,"Error","OK")</f>
        <v>Error</v>
      </c>
      <c r="D212" t="str">
        <f>IF(Raw_Inventory!D212="","Missing","OK")</f>
        <v>OK</v>
      </c>
      <c r="E212" t="str">
        <f t="shared" si="3"/>
        <v>Check Record</v>
      </c>
    </row>
    <row r="213" spans="1:5" x14ac:dyDescent="0.25">
      <c r="A213" t="str">
        <f>Raw_Inventory!A213</f>
        <v>P1212</v>
      </c>
      <c r="B213" t="str">
        <f>IF(COUNTIF(Raw_Inventory!A:A,A213)&gt;1,"Duplicate","OK")</f>
        <v>OK</v>
      </c>
      <c r="C213" t="str">
        <f>IF(Raw_Inventory!E213-Raw_Inventory!F213&lt;0,"Error","OK")</f>
        <v>OK</v>
      </c>
      <c r="D213" t="str">
        <f>IF(Raw_Inventory!D213="","Missing","OK")</f>
        <v>OK</v>
      </c>
      <c r="E213" t="str">
        <f t="shared" si="3"/>
        <v>Valid</v>
      </c>
    </row>
    <row r="214" spans="1:5" x14ac:dyDescent="0.25">
      <c r="A214" t="str">
        <f>Raw_Inventory!A214</f>
        <v>P1213</v>
      </c>
      <c r="B214" t="str">
        <f>IF(COUNTIF(Raw_Inventory!A:A,A214)&gt;1,"Duplicate","OK")</f>
        <v>OK</v>
      </c>
      <c r="C214" t="str">
        <f>IF(Raw_Inventory!E214-Raw_Inventory!F214&lt;0,"Error","OK")</f>
        <v>Error</v>
      </c>
      <c r="D214" t="str">
        <f>IF(Raw_Inventory!D214="","Missing","OK")</f>
        <v>OK</v>
      </c>
      <c r="E214" t="str">
        <f t="shared" si="3"/>
        <v>Check Record</v>
      </c>
    </row>
    <row r="215" spans="1:5" x14ac:dyDescent="0.25">
      <c r="A215" t="str">
        <f>Raw_Inventory!A215</f>
        <v>P1214</v>
      </c>
      <c r="B215" t="str">
        <f>IF(COUNTIF(Raw_Inventory!A:A,A215)&gt;1,"Duplicate","OK")</f>
        <v>OK</v>
      </c>
      <c r="C215" t="str">
        <f>IF(Raw_Inventory!E215-Raw_Inventory!F215&lt;0,"Error","OK")</f>
        <v>OK</v>
      </c>
      <c r="D215" t="str">
        <f>IF(Raw_Inventory!D215="","Missing","OK")</f>
        <v>OK</v>
      </c>
      <c r="E215" t="str">
        <f t="shared" si="3"/>
        <v>Valid</v>
      </c>
    </row>
    <row r="216" spans="1:5" x14ac:dyDescent="0.25">
      <c r="A216" t="str">
        <f>Raw_Inventory!A216</f>
        <v>P1215</v>
      </c>
      <c r="B216" t="str">
        <f>IF(COUNTIF(Raw_Inventory!A:A,A216)&gt;1,"Duplicate","OK")</f>
        <v>OK</v>
      </c>
      <c r="C216" t="str">
        <f>IF(Raw_Inventory!E216-Raw_Inventory!F216&lt;0,"Error","OK")</f>
        <v>Error</v>
      </c>
      <c r="D216" t="str">
        <f>IF(Raw_Inventory!D216="","Missing","OK")</f>
        <v>OK</v>
      </c>
      <c r="E216" t="str">
        <f t="shared" si="3"/>
        <v>Check Record</v>
      </c>
    </row>
    <row r="217" spans="1:5" x14ac:dyDescent="0.25">
      <c r="A217" t="str">
        <f>Raw_Inventory!A217</f>
        <v>P1216</v>
      </c>
      <c r="B217" t="str">
        <f>IF(COUNTIF(Raw_Inventory!A:A,A217)&gt;1,"Duplicate","OK")</f>
        <v>OK</v>
      </c>
      <c r="C217" t="str">
        <f>IF(Raw_Inventory!E217-Raw_Inventory!F217&lt;0,"Error","OK")</f>
        <v>Error</v>
      </c>
      <c r="D217" t="str">
        <f>IF(Raw_Inventory!D217="","Missing","OK")</f>
        <v>OK</v>
      </c>
      <c r="E217" t="str">
        <f t="shared" si="3"/>
        <v>Check Record</v>
      </c>
    </row>
    <row r="218" spans="1:5" x14ac:dyDescent="0.25">
      <c r="A218" t="str">
        <f>Raw_Inventory!A218</f>
        <v>P1217</v>
      </c>
      <c r="B218" t="str">
        <f>IF(COUNTIF(Raw_Inventory!A:A,A218)&gt;1,"Duplicate","OK")</f>
        <v>OK</v>
      </c>
      <c r="C218" t="str">
        <f>IF(Raw_Inventory!E218-Raw_Inventory!F218&lt;0,"Error","OK")</f>
        <v>OK</v>
      </c>
      <c r="D218" t="str">
        <f>IF(Raw_Inventory!D218="","Missing","OK")</f>
        <v>OK</v>
      </c>
      <c r="E218" t="str">
        <f t="shared" si="3"/>
        <v>Valid</v>
      </c>
    </row>
    <row r="219" spans="1:5" x14ac:dyDescent="0.25">
      <c r="A219" t="str">
        <f>Raw_Inventory!A219</f>
        <v>P1218</v>
      </c>
      <c r="B219" t="str">
        <f>IF(COUNTIF(Raw_Inventory!A:A,A219)&gt;1,"Duplicate","OK")</f>
        <v>OK</v>
      </c>
      <c r="C219" t="str">
        <f>IF(Raw_Inventory!E219-Raw_Inventory!F219&lt;0,"Error","OK")</f>
        <v>Error</v>
      </c>
      <c r="D219" t="str">
        <f>IF(Raw_Inventory!D219="","Missing","OK")</f>
        <v>OK</v>
      </c>
      <c r="E219" t="str">
        <f t="shared" si="3"/>
        <v>Check Record</v>
      </c>
    </row>
    <row r="220" spans="1:5" x14ac:dyDescent="0.25">
      <c r="A220" t="str">
        <f>Raw_Inventory!A220</f>
        <v>P1219</v>
      </c>
      <c r="B220" t="str">
        <f>IF(COUNTIF(Raw_Inventory!A:A,A220)&gt;1,"Duplicate","OK")</f>
        <v>OK</v>
      </c>
      <c r="C220" t="str">
        <f>IF(Raw_Inventory!E220-Raw_Inventory!F220&lt;0,"Error","OK")</f>
        <v>OK</v>
      </c>
      <c r="D220" t="str">
        <f>IF(Raw_Inventory!D220="","Missing","OK")</f>
        <v>OK</v>
      </c>
      <c r="E220" t="str">
        <f t="shared" si="3"/>
        <v>Valid</v>
      </c>
    </row>
    <row r="221" spans="1:5" x14ac:dyDescent="0.25">
      <c r="A221" t="str">
        <f>Raw_Inventory!A221</f>
        <v>P1220</v>
      </c>
      <c r="B221" t="str">
        <f>IF(COUNTIF(Raw_Inventory!A:A,A221)&gt;1,"Duplicate","OK")</f>
        <v>OK</v>
      </c>
      <c r="C221" t="str">
        <f>IF(Raw_Inventory!E221-Raw_Inventory!F221&lt;0,"Error","OK")</f>
        <v>OK</v>
      </c>
      <c r="D221" t="str">
        <f>IF(Raw_Inventory!D221="","Missing","OK")</f>
        <v>OK</v>
      </c>
      <c r="E221" t="str">
        <f t="shared" si="3"/>
        <v>Valid</v>
      </c>
    </row>
    <row r="222" spans="1:5" x14ac:dyDescent="0.25">
      <c r="A222" t="str">
        <f>Raw_Inventory!A222</f>
        <v>P1221</v>
      </c>
      <c r="B222" t="str">
        <f>IF(COUNTIF(Raw_Inventory!A:A,A222)&gt;1,"Duplicate","OK")</f>
        <v>OK</v>
      </c>
      <c r="C222" t="str">
        <f>IF(Raw_Inventory!E222-Raw_Inventory!F222&lt;0,"Error","OK")</f>
        <v>OK</v>
      </c>
      <c r="D222" t="str">
        <f>IF(Raw_Inventory!D222="","Missing","OK")</f>
        <v>OK</v>
      </c>
      <c r="E222" t="str">
        <f t="shared" si="3"/>
        <v>Valid</v>
      </c>
    </row>
    <row r="223" spans="1:5" x14ac:dyDescent="0.25">
      <c r="A223" t="str">
        <f>Raw_Inventory!A223</f>
        <v>P1222</v>
      </c>
      <c r="B223" t="str">
        <f>IF(COUNTIF(Raw_Inventory!A:A,A223)&gt;1,"Duplicate","OK")</f>
        <v>OK</v>
      </c>
      <c r="C223" t="str">
        <f>IF(Raw_Inventory!E223-Raw_Inventory!F223&lt;0,"Error","OK")</f>
        <v>OK</v>
      </c>
      <c r="D223" t="str">
        <f>IF(Raw_Inventory!D223="","Missing","OK")</f>
        <v>OK</v>
      </c>
      <c r="E223" t="str">
        <f t="shared" si="3"/>
        <v>Valid</v>
      </c>
    </row>
    <row r="224" spans="1:5" x14ac:dyDescent="0.25">
      <c r="A224" t="str">
        <f>Raw_Inventory!A224</f>
        <v>P1223</v>
      </c>
      <c r="B224" t="str">
        <f>IF(COUNTIF(Raw_Inventory!A:A,A224)&gt;1,"Duplicate","OK")</f>
        <v>OK</v>
      </c>
      <c r="C224" t="str">
        <f>IF(Raw_Inventory!E224-Raw_Inventory!F224&lt;0,"Error","OK")</f>
        <v>OK</v>
      </c>
      <c r="D224" t="str">
        <f>IF(Raw_Inventory!D224="","Missing","OK")</f>
        <v>OK</v>
      </c>
      <c r="E224" t="str">
        <f t="shared" si="3"/>
        <v>Valid</v>
      </c>
    </row>
    <row r="225" spans="1:5" x14ac:dyDescent="0.25">
      <c r="A225" t="str">
        <f>Raw_Inventory!A225</f>
        <v>P1224</v>
      </c>
      <c r="B225" t="str">
        <f>IF(COUNTIF(Raw_Inventory!A:A,A225)&gt;1,"Duplicate","OK")</f>
        <v>OK</v>
      </c>
      <c r="C225" t="str">
        <f>IF(Raw_Inventory!E225-Raw_Inventory!F225&lt;0,"Error","OK")</f>
        <v>OK</v>
      </c>
      <c r="D225" t="str">
        <f>IF(Raw_Inventory!D225="","Missing","OK")</f>
        <v>OK</v>
      </c>
      <c r="E225" t="str">
        <f t="shared" si="3"/>
        <v>Valid</v>
      </c>
    </row>
    <row r="226" spans="1:5" x14ac:dyDescent="0.25">
      <c r="A226" t="str">
        <f>Raw_Inventory!A226</f>
        <v>P1225</v>
      </c>
      <c r="B226" t="str">
        <f>IF(COUNTIF(Raw_Inventory!A:A,A226)&gt;1,"Duplicate","OK")</f>
        <v>OK</v>
      </c>
      <c r="C226" t="str">
        <f>IF(Raw_Inventory!E226-Raw_Inventory!F226&lt;0,"Error","OK")</f>
        <v>OK</v>
      </c>
      <c r="D226" t="str">
        <f>IF(Raw_Inventory!D226="","Missing","OK")</f>
        <v>OK</v>
      </c>
      <c r="E226" t="str">
        <f t="shared" si="3"/>
        <v>Valid</v>
      </c>
    </row>
    <row r="227" spans="1:5" x14ac:dyDescent="0.25">
      <c r="A227" t="str">
        <f>Raw_Inventory!A227</f>
        <v>P1226</v>
      </c>
      <c r="B227" t="str">
        <f>IF(COUNTIF(Raw_Inventory!A:A,A227)&gt;1,"Duplicate","OK")</f>
        <v>OK</v>
      </c>
      <c r="C227" t="str">
        <f>IF(Raw_Inventory!E227-Raw_Inventory!F227&lt;0,"Error","OK")</f>
        <v>OK</v>
      </c>
      <c r="D227" t="str">
        <f>IF(Raw_Inventory!D227="","Missing","OK")</f>
        <v>OK</v>
      </c>
      <c r="E227" t="str">
        <f t="shared" si="3"/>
        <v>Valid</v>
      </c>
    </row>
    <row r="228" spans="1:5" x14ac:dyDescent="0.25">
      <c r="A228" t="str">
        <f>Raw_Inventory!A228</f>
        <v>P1227</v>
      </c>
      <c r="B228" t="str">
        <f>IF(COUNTIF(Raw_Inventory!A:A,A228)&gt;1,"Duplicate","OK")</f>
        <v>OK</v>
      </c>
      <c r="C228" t="str">
        <f>IF(Raw_Inventory!E228-Raw_Inventory!F228&lt;0,"Error","OK")</f>
        <v>OK</v>
      </c>
      <c r="D228" t="str">
        <f>IF(Raw_Inventory!D228="","Missing","OK")</f>
        <v>OK</v>
      </c>
      <c r="E228" t="str">
        <f t="shared" si="3"/>
        <v>Valid</v>
      </c>
    </row>
    <row r="229" spans="1:5" x14ac:dyDescent="0.25">
      <c r="A229" t="str">
        <f>Raw_Inventory!A229</f>
        <v>P1228</v>
      </c>
      <c r="B229" t="str">
        <f>IF(COUNTIF(Raw_Inventory!A:A,A229)&gt;1,"Duplicate","OK")</f>
        <v>OK</v>
      </c>
      <c r="C229" t="str">
        <f>IF(Raw_Inventory!E229-Raw_Inventory!F229&lt;0,"Error","OK")</f>
        <v>Error</v>
      </c>
      <c r="D229" t="str">
        <f>IF(Raw_Inventory!D229="","Missing","OK")</f>
        <v>OK</v>
      </c>
      <c r="E229" t="str">
        <f t="shared" si="3"/>
        <v>Check Record</v>
      </c>
    </row>
    <row r="230" spans="1:5" x14ac:dyDescent="0.25">
      <c r="A230" t="str">
        <f>Raw_Inventory!A230</f>
        <v>P1229</v>
      </c>
      <c r="B230" t="str">
        <f>IF(COUNTIF(Raw_Inventory!A:A,A230)&gt;1,"Duplicate","OK")</f>
        <v>OK</v>
      </c>
      <c r="C230" t="str">
        <f>IF(Raw_Inventory!E230-Raw_Inventory!F230&lt;0,"Error","OK")</f>
        <v>OK</v>
      </c>
      <c r="D230" t="str">
        <f>IF(Raw_Inventory!D230="","Missing","OK")</f>
        <v>OK</v>
      </c>
      <c r="E230" t="str">
        <f t="shared" si="3"/>
        <v>Valid</v>
      </c>
    </row>
    <row r="231" spans="1:5" x14ac:dyDescent="0.25">
      <c r="A231" t="str">
        <f>Raw_Inventory!A231</f>
        <v>P1230</v>
      </c>
      <c r="B231" t="str">
        <f>IF(COUNTIF(Raw_Inventory!A:A,A231)&gt;1,"Duplicate","OK")</f>
        <v>OK</v>
      </c>
      <c r="C231" t="str">
        <f>IF(Raw_Inventory!E231-Raw_Inventory!F231&lt;0,"Error","OK")</f>
        <v>OK</v>
      </c>
      <c r="D231" t="str">
        <f>IF(Raw_Inventory!D231="","Missing","OK")</f>
        <v>OK</v>
      </c>
      <c r="E231" t="str">
        <f t="shared" si="3"/>
        <v>Valid</v>
      </c>
    </row>
    <row r="232" spans="1:5" x14ac:dyDescent="0.25">
      <c r="A232" t="str">
        <f>Raw_Inventory!A232</f>
        <v>P1231</v>
      </c>
      <c r="B232" t="str">
        <f>IF(COUNTIF(Raw_Inventory!A:A,A232)&gt;1,"Duplicate","OK")</f>
        <v>OK</v>
      </c>
      <c r="C232" t="str">
        <f>IF(Raw_Inventory!E232-Raw_Inventory!F232&lt;0,"Error","OK")</f>
        <v>OK</v>
      </c>
      <c r="D232" t="str">
        <f>IF(Raw_Inventory!D232="","Missing","OK")</f>
        <v>OK</v>
      </c>
      <c r="E232" t="str">
        <f t="shared" si="3"/>
        <v>Valid</v>
      </c>
    </row>
    <row r="233" spans="1:5" x14ac:dyDescent="0.25">
      <c r="A233" t="str">
        <f>Raw_Inventory!A233</f>
        <v>P1232</v>
      </c>
      <c r="B233" t="str">
        <f>IF(COUNTIF(Raw_Inventory!A:A,A233)&gt;1,"Duplicate","OK")</f>
        <v>OK</v>
      </c>
      <c r="C233" t="str">
        <f>IF(Raw_Inventory!E233-Raw_Inventory!F233&lt;0,"Error","OK")</f>
        <v>OK</v>
      </c>
      <c r="D233" t="str">
        <f>IF(Raw_Inventory!D233="","Missing","OK")</f>
        <v>OK</v>
      </c>
      <c r="E233" t="str">
        <f t="shared" si="3"/>
        <v>Valid</v>
      </c>
    </row>
    <row r="234" spans="1:5" x14ac:dyDescent="0.25">
      <c r="A234" t="str">
        <f>Raw_Inventory!A234</f>
        <v>P1233</v>
      </c>
      <c r="B234" t="str">
        <f>IF(COUNTIF(Raw_Inventory!A:A,A234)&gt;1,"Duplicate","OK")</f>
        <v>OK</v>
      </c>
      <c r="C234" t="str">
        <f>IF(Raw_Inventory!E234-Raw_Inventory!F234&lt;0,"Error","OK")</f>
        <v>OK</v>
      </c>
      <c r="D234" t="str">
        <f>IF(Raw_Inventory!D234="","Missing","OK")</f>
        <v>OK</v>
      </c>
      <c r="E234" t="str">
        <f t="shared" si="3"/>
        <v>Valid</v>
      </c>
    </row>
    <row r="235" spans="1:5" x14ac:dyDescent="0.25">
      <c r="A235" t="str">
        <f>Raw_Inventory!A235</f>
        <v>P1234</v>
      </c>
      <c r="B235" t="str">
        <f>IF(COUNTIF(Raw_Inventory!A:A,A235)&gt;1,"Duplicate","OK")</f>
        <v>OK</v>
      </c>
      <c r="C235" t="str">
        <f>IF(Raw_Inventory!E235-Raw_Inventory!F235&lt;0,"Error","OK")</f>
        <v>OK</v>
      </c>
      <c r="D235" t="str">
        <f>IF(Raw_Inventory!D235="","Missing","OK")</f>
        <v>OK</v>
      </c>
      <c r="E235" t="str">
        <f t="shared" si="3"/>
        <v>Valid</v>
      </c>
    </row>
    <row r="236" spans="1:5" x14ac:dyDescent="0.25">
      <c r="A236" t="str">
        <f>Raw_Inventory!A236</f>
        <v>P1235</v>
      </c>
      <c r="B236" t="str">
        <f>IF(COUNTIF(Raw_Inventory!A:A,A236)&gt;1,"Duplicate","OK")</f>
        <v>OK</v>
      </c>
      <c r="C236" t="str">
        <f>IF(Raw_Inventory!E236-Raw_Inventory!F236&lt;0,"Error","OK")</f>
        <v>Error</v>
      </c>
      <c r="D236" t="str">
        <f>IF(Raw_Inventory!D236="","Missing","OK")</f>
        <v>OK</v>
      </c>
      <c r="E236" t="str">
        <f t="shared" si="3"/>
        <v>Check Record</v>
      </c>
    </row>
    <row r="237" spans="1:5" x14ac:dyDescent="0.25">
      <c r="A237" t="str">
        <f>Raw_Inventory!A237</f>
        <v>P1236</v>
      </c>
      <c r="B237" t="str">
        <f>IF(COUNTIF(Raw_Inventory!A:A,A237)&gt;1,"Duplicate","OK")</f>
        <v>OK</v>
      </c>
      <c r="C237" t="str">
        <f>IF(Raw_Inventory!E237-Raw_Inventory!F237&lt;0,"Error","OK")</f>
        <v>OK</v>
      </c>
      <c r="D237" t="str">
        <f>IF(Raw_Inventory!D237="","Missing","OK")</f>
        <v>OK</v>
      </c>
      <c r="E237" t="str">
        <f t="shared" si="3"/>
        <v>Valid</v>
      </c>
    </row>
    <row r="238" spans="1:5" x14ac:dyDescent="0.25">
      <c r="A238" t="str">
        <f>Raw_Inventory!A238</f>
        <v>P1237</v>
      </c>
      <c r="B238" t="str">
        <f>IF(COUNTIF(Raw_Inventory!A:A,A238)&gt;1,"Duplicate","OK")</f>
        <v>OK</v>
      </c>
      <c r="C238" t="str">
        <f>IF(Raw_Inventory!E238-Raw_Inventory!F238&lt;0,"Error","OK")</f>
        <v>OK</v>
      </c>
      <c r="D238" t="str">
        <f>IF(Raw_Inventory!D238="","Missing","OK")</f>
        <v>OK</v>
      </c>
      <c r="E238" t="str">
        <f t="shared" si="3"/>
        <v>Valid</v>
      </c>
    </row>
    <row r="239" spans="1:5" x14ac:dyDescent="0.25">
      <c r="A239" t="str">
        <f>Raw_Inventory!A239</f>
        <v>P1238</v>
      </c>
      <c r="B239" t="str">
        <f>IF(COUNTIF(Raw_Inventory!A:A,A239)&gt;1,"Duplicate","OK")</f>
        <v>OK</v>
      </c>
      <c r="C239" t="str">
        <f>IF(Raw_Inventory!E239-Raw_Inventory!F239&lt;0,"Error","OK")</f>
        <v>OK</v>
      </c>
      <c r="D239" t="str">
        <f>IF(Raw_Inventory!D239="","Missing","OK")</f>
        <v>OK</v>
      </c>
      <c r="E239" t="str">
        <f t="shared" si="3"/>
        <v>Valid</v>
      </c>
    </row>
    <row r="240" spans="1:5" x14ac:dyDescent="0.25">
      <c r="A240" t="str">
        <f>Raw_Inventory!A240</f>
        <v>P1239</v>
      </c>
      <c r="B240" t="str">
        <f>IF(COUNTIF(Raw_Inventory!A:A,A240)&gt;1,"Duplicate","OK")</f>
        <v>OK</v>
      </c>
      <c r="C240" t="str">
        <f>IF(Raw_Inventory!E240-Raw_Inventory!F240&lt;0,"Error","OK")</f>
        <v>OK</v>
      </c>
      <c r="D240" t="str">
        <f>IF(Raw_Inventory!D240="","Missing","OK")</f>
        <v>OK</v>
      </c>
      <c r="E240" t="str">
        <f t="shared" si="3"/>
        <v>Valid</v>
      </c>
    </row>
    <row r="241" spans="1:5" x14ac:dyDescent="0.25">
      <c r="A241" t="str">
        <f>Raw_Inventory!A241</f>
        <v>P1240</v>
      </c>
      <c r="B241" t="str">
        <f>IF(COUNTIF(Raw_Inventory!A:A,A241)&gt;1,"Duplicate","OK")</f>
        <v>OK</v>
      </c>
      <c r="C241" t="str">
        <f>IF(Raw_Inventory!E241-Raw_Inventory!F241&lt;0,"Error","OK")</f>
        <v>OK</v>
      </c>
      <c r="D241" t="str">
        <f>IF(Raw_Inventory!D241="","Missing","OK")</f>
        <v>OK</v>
      </c>
      <c r="E241" t="str">
        <f t="shared" si="3"/>
        <v>Valid</v>
      </c>
    </row>
    <row r="242" spans="1:5" x14ac:dyDescent="0.25">
      <c r="A242" t="str">
        <f>Raw_Inventory!A242</f>
        <v>P1241</v>
      </c>
      <c r="B242" t="str">
        <f>IF(COUNTIF(Raw_Inventory!A:A,A242)&gt;1,"Duplicate","OK")</f>
        <v>OK</v>
      </c>
      <c r="C242" t="str">
        <f>IF(Raw_Inventory!E242-Raw_Inventory!F242&lt;0,"Error","OK")</f>
        <v>OK</v>
      </c>
      <c r="D242" t="str">
        <f>IF(Raw_Inventory!D242="","Missing","OK")</f>
        <v>OK</v>
      </c>
      <c r="E242" t="str">
        <f t="shared" si="3"/>
        <v>Valid</v>
      </c>
    </row>
    <row r="243" spans="1:5" x14ac:dyDescent="0.25">
      <c r="A243" t="str">
        <f>Raw_Inventory!A243</f>
        <v>P1242</v>
      </c>
      <c r="B243" t="str">
        <f>IF(COUNTIF(Raw_Inventory!A:A,A243)&gt;1,"Duplicate","OK")</f>
        <v>OK</v>
      </c>
      <c r="C243" t="str">
        <f>IF(Raw_Inventory!E243-Raw_Inventory!F243&lt;0,"Error","OK")</f>
        <v>Error</v>
      </c>
      <c r="D243" t="str">
        <f>IF(Raw_Inventory!D243="","Missing","OK")</f>
        <v>OK</v>
      </c>
      <c r="E243" t="str">
        <f t="shared" si="3"/>
        <v>Check Record</v>
      </c>
    </row>
    <row r="244" spans="1:5" x14ac:dyDescent="0.25">
      <c r="A244" t="str">
        <f>Raw_Inventory!A244</f>
        <v>P1243</v>
      </c>
      <c r="B244" t="str">
        <f>IF(COUNTIF(Raw_Inventory!A:A,A244)&gt;1,"Duplicate","OK")</f>
        <v>OK</v>
      </c>
      <c r="C244" t="str">
        <f>IF(Raw_Inventory!E244-Raw_Inventory!F244&lt;0,"Error","OK")</f>
        <v>OK</v>
      </c>
      <c r="D244" t="str">
        <f>IF(Raw_Inventory!D244="","Missing","OK")</f>
        <v>OK</v>
      </c>
      <c r="E244" t="str">
        <f t="shared" si="3"/>
        <v>Valid</v>
      </c>
    </row>
    <row r="245" spans="1:5" x14ac:dyDescent="0.25">
      <c r="A245" t="str">
        <f>Raw_Inventory!A245</f>
        <v>P1244</v>
      </c>
      <c r="B245" t="str">
        <f>IF(COUNTIF(Raw_Inventory!A:A,A245)&gt;1,"Duplicate","OK")</f>
        <v>OK</v>
      </c>
      <c r="C245" t="str">
        <f>IF(Raw_Inventory!E245-Raw_Inventory!F245&lt;0,"Error","OK")</f>
        <v>Error</v>
      </c>
      <c r="D245" t="str">
        <f>IF(Raw_Inventory!D245="","Missing","OK")</f>
        <v>OK</v>
      </c>
      <c r="E245" t="str">
        <f t="shared" si="3"/>
        <v>Check Record</v>
      </c>
    </row>
    <row r="246" spans="1:5" x14ac:dyDescent="0.25">
      <c r="A246" t="str">
        <f>Raw_Inventory!A246</f>
        <v>P1245</v>
      </c>
      <c r="B246" t="str">
        <f>IF(COUNTIF(Raw_Inventory!A:A,A246)&gt;1,"Duplicate","OK")</f>
        <v>OK</v>
      </c>
      <c r="C246" t="str">
        <f>IF(Raw_Inventory!E246-Raw_Inventory!F246&lt;0,"Error","OK")</f>
        <v>OK</v>
      </c>
      <c r="D246" t="str">
        <f>IF(Raw_Inventory!D246="","Missing","OK")</f>
        <v>OK</v>
      </c>
      <c r="E246" t="str">
        <f t="shared" si="3"/>
        <v>Valid</v>
      </c>
    </row>
    <row r="247" spans="1:5" x14ac:dyDescent="0.25">
      <c r="A247" t="str">
        <f>Raw_Inventory!A247</f>
        <v>P1246</v>
      </c>
      <c r="B247" t="str">
        <f>IF(COUNTIF(Raw_Inventory!A:A,A247)&gt;1,"Duplicate","OK")</f>
        <v>OK</v>
      </c>
      <c r="C247" t="str">
        <f>IF(Raw_Inventory!E247-Raw_Inventory!F247&lt;0,"Error","OK")</f>
        <v>OK</v>
      </c>
      <c r="D247" t="str">
        <f>IF(Raw_Inventory!D247="","Missing","OK")</f>
        <v>OK</v>
      </c>
      <c r="E247" t="str">
        <f t="shared" si="3"/>
        <v>Valid</v>
      </c>
    </row>
    <row r="248" spans="1:5" x14ac:dyDescent="0.25">
      <c r="A248" t="str">
        <f>Raw_Inventory!A248</f>
        <v>P1247</v>
      </c>
      <c r="B248" t="str">
        <f>IF(COUNTIF(Raw_Inventory!A:A,A248)&gt;1,"Duplicate","OK")</f>
        <v>OK</v>
      </c>
      <c r="C248" t="str">
        <f>IF(Raw_Inventory!E248-Raw_Inventory!F248&lt;0,"Error","OK")</f>
        <v>OK</v>
      </c>
      <c r="D248" t="str">
        <f>IF(Raw_Inventory!D248="","Missing","OK")</f>
        <v>OK</v>
      </c>
      <c r="E248" t="str">
        <f t="shared" si="3"/>
        <v>Valid</v>
      </c>
    </row>
    <row r="249" spans="1:5" x14ac:dyDescent="0.25">
      <c r="A249" t="str">
        <f>Raw_Inventory!A249</f>
        <v>P1248</v>
      </c>
      <c r="B249" t="str">
        <f>IF(COUNTIF(Raw_Inventory!A:A,A249)&gt;1,"Duplicate","OK")</f>
        <v>OK</v>
      </c>
      <c r="C249" t="str">
        <f>IF(Raw_Inventory!E249-Raw_Inventory!F249&lt;0,"Error","OK")</f>
        <v>OK</v>
      </c>
      <c r="D249" t="str">
        <f>IF(Raw_Inventory!D249="","Missing","OK")</f>
        <v>OK</v>
      </c>
      <c r="E249" t="str">
        <f t="shared" si="3"/>
        <v>Valid</v>
      </c>
    </row>
    <row r="250" spans="1:5" x14ac:dyDescent="0.25">
      <c r="A250" t="str">
        <f>Raw_Inventory!A250</f>
        <v>P1249</v>
      </c>
      <c r="B250" t="str">
        <f>IF(COUNTIF(Raw_Inventory!A:A,A250)&gt;1,"Duplicate","OK")</f>
        <v>OK</v>
      </c>
      <c r="C250" t="str">
        <f>IF(Raw_Inventory!E250-Raw_Inventory!F250&lt;0,"Error","OK")</f>
        <v>OK</v>
      </c>
      <c r="D250" t="str">
        <f>IF(Raw_Inventory!D250="","Missing","OK")</f>
        <v>OK</v>
      </c>
      <c r="E250" t="str">
        <f t="shared" si="3"/>
        <v>Valid</v>
      </c>
    </row>
    <row r="251" spans="1:5" x14ac:dyDescent="0.25">
      <c r="A251" t="str">
        <f>Raw_Inventory!A251</f>
        <v>P1250</v>
      </c>
      <c r="B251" t="str">
        <f>IF(COUNTIF(Raw_Inventory!A:A,A251)&gt;1,"Duplicate","OK")</f>
        <v>OK</v>
      </c>
      <c r="C251" t="str">
        <f>IF(Raw_Inventory!E251-Raw_Inventory!F251&lt;0,"Error","OK")</f>
        <v>OK</v>
      </c>
      <c r="D251" t="str">
        <f>IF(Raw_Inventory!D251="","Missing","OK")</f>
        <v>OK</v>
      </c>
      <c r="E251" t="str">
        <f t="shared" si="3"/>
        <v>Valid</v>
      </c>
    </row>
    <row r="252" spans="1:5" x14ac:dyDescent="0.25">
      <c r="A252" t="str">
        <f>Raw_Inventory!A252</f>
        <v>P1251</v>
      </c>
      <c r="B252" t="str">
        <f>IF(COUNTIF(Raw_Inventory!A:A,A252)&gt;1,"Duplicate","OK")</f>
        <v>OK</v>
      </c>
      <c r="C252" t="str">
        <f>IF(Raw_Inventory!E252-Raw_Inventory!F252&lt;0,"Error","OK")</f>
        <v>OK</v>
      </c>
      <c r="D252" t="str">
        <f>IF(Raw_Inventory!D252="","Missing","OK")</f>
        <v>OK</v>
      </c>
      <c r="E252" t="str">
        <f t="shared" si="3"/>
        <v>Valid</v>
      </c>
    </row>
    <row r="253" spans="1:5" x14ac:dyDescent="0.25">
      <c r="A253" t="str">
        <f>Raw_Inventory!A253</f>
        <v>P1252</v>
      </c>
      <c r="B253" t="str">
        <f>IF(COUNTIF(Raw_Inventory!A:A,A253)&gt;1,"Duplicate","OK")</f>
        <v>OK</v>
      </c>
      <c r="C253" t="str">
        <f>IF(Raw_Inventory!E253-Raw_Inventory!F253&lt;0,"Error","OK")</f>
        <v>OK</v>
      </c>
      <c r="D253" t="str">
        <f>IF(Raw_Inventory!D253="","Missing","OK")</f>
        <v>OK</v>
      </c>
      <c r="E253" t="str">
        <f t="shared" si="3"/>
        <v>Valid</v>
      </c>
    </row>
    <row r="254" spans="1:5" x14ac:dyDescent="0.25">
      <c r="A254" t="str">
        <f>Raw_Inventory!A254</f>
        <v>P1253</v>
      </c>
      <c r="B254" t="str">
        <f>IF(COUNTIF(Raw_Inventory!A:A,A254)&gt;1,"Duplicate","OK")</f>
        <v>OK</v>
      </c>
      <c r="C254" t="str">
        <f>IF(Raw_Inventory!E254-Raw_Inventory!F254&lt;0,"Error","OK")</f>
        <v>Error</v>
      </c>
      <c r="D254" t="str">
        <f>IF(Raw_Inventory!D254="","Missing","OK")</f>
        <v>OK</v>
      </c>
      <c r="E254" t="str">
        <f t="shared" si="3"/>
        <v>Check Record</v>
      </c>
    </row>
    <row r="255" spans="1:5" x14ac:dyDescent="0.25">
      <c r="A255" t="str">
        <f>Raw_Inventory!A255</f>
        <v>P1254</v>
      </c>
      <c r="B255" t="str">
        <f>IF(COUNTIF(Raw_Inventory!A:A,A255)&gt;1,"Duplicate","OK")</f>
        <v>OK</v>
      </c>
      <c r="C255" t="str">
        <f>IF(Raw_Inventory!E255-Raw_Inventory!F255&lt;0,"Error","OK")</f>
        <v>OK</v>
      </c>
      <c r="D255" t="str">
        <f>IF(Raw_Inventory!D255="","Missing","OK")</f>
        <v>OK</v>
      </c>
      <c r="E255" t="str">
        <f t="shared" si="3"/>
        <v>Valid</v>
      </c>
    </row>
    <row r="256" spans="1:5" x14ac:dyDescent="0.25">
      <c r="A256" t="str">
        <f>Raw_Inventory!A256</f>
        <v>P1255</v>
      </c>
      <c r="B256" t="str">
        <f>IF(COUNTIF(Raw_Inventory!A:A,A256)&gt;1,"Duplicate","OK")</f>
        <v>OK</v>
      </c>
      <c r="C256" t="str">
        <f>IF(Raw_Inventory!E256-Raw_Inventory!F256&lt;0,"Error","OK")</f>
        <v>Error</v>
      </c>
      <c r="D256" t="str">
        <f>IF(Raw_Inventory!D256="","Missing","OK")</f>
        <v>OK</v>
      </c>
      <c r="E256" t="str">
        <f t="shared" si="3"/>
        <v>Check Record</v>
      </c>
    </row>
    <row r="257" spans="1:5" x14ac:dyDescent="0.25">
      <c r="A257" t="str">
        <f>Raw_Inventory!A257</f>
        <v>P1256</v>
      </c>
      <c r="B257" t="str">
        <f>IF(COUNTIF(Raw_Inventory!A:A,A257)&gt;1,"Duplicate","OK")</f>
        <v>OK</v>
      </c>
      <c r="C257" t="str">
        <f>IF(Raw_Inventory!E257-Raw_Inventory!F257&lt;0,"Error","OK")</f>
        <v>Error</v>
      </c>
      <c r="D257" t="str">
        <f>IF(Raw_Inventory!D257="","Missing","OK")</f>
        <v>OK</v>
      </c>
      <c r="E257" t="str">
        <f t="shared" si="3"/>
        <v>Check Record</v>
      </c>
    </row>
    <row r="258" spans="1:5" x14ac:dyDescent="0.25">
      <c r="A258" t="str">
        <f>Raw_Inventory!A258</f>
        <v>P1257</v>
      </c>
      <c r="B258" t="str">
        <f>IF(COUNTIF(Raw_Inventory!A:A,A258)&gt;1,"Duplicate","OK")</f>
        <v>OK</v>
      </c>
      <c r="C258" t="str">
        <f>IF(Raw_Inventory!E258-Raw_Inventory!F258&lt;0,"Error","OK")</f>
        <v>OK</v>
      </c>
      <c r="D258" t="str">
        <f>IF(Raw_Inventory!D258="","Missing","OK")</f>
        <v>OK</v>
      </c>
      <c r="E258" t="str">
        <f t="shared" si="3"/>
        <v>Valid</v>
      </c>
    </row>
    <row r="259" spans="1:5" x14ac:dyDescent="0.25">
      <c r="A259" t="str">
        <f>Raw_Inventory!A259</f>
        <v>P1258</v>
      </c>
      <c r="B259" t="str">
        <f>IF(COUNTIF(Raw_Inventory!A:A,A259)&gt;1,"Duplicate","OK")</f>
        <v>OK</v>
      </c>
      <c r="C259" t="str">
        <f>IF(Raw_Inventory!E259-Raw_Inventory!F259&lt;0,"Error","OK")</f>
        <v>Error</v>
      </c>
      <c r="D259" t="str">
        <f>IF(Raw_Inventory!D259="","Missing","OK")</f>
        <v>OK</v>
      </c>
      <c r="E259" t="str">
        <f t="shared" ref="E259:E322" si="4">IF(OR(B259="Duplicate",C259="Error",D259="Missing"),"Check Record","Valid")</f>
        <v>Check Record</v>
      </c>
    </row>
    <row r="260" spans="1:5" x14ac:dyDescent="0.25">
      <c r="A260" t="str">
        <f>Raw_Inventory!A260</f>
        <v>P1259</v>
      </c>
      <c r="B260" t="str">
        <f>IF(COUNTIF(Raw_Inventory!A:A,A260)&gt;1,"Duplicate","OK")</f>
        <v>OK</v>
      </c>
      <c r="C260" t="str">
        <f>IF(Raw_Inventory!E260-Raw_Inventory!F260&lt;0,"Error","OK")</f>
        <v>Error</v>
      </c>
      <c r="D260" t="str">
        <f>IF(Raw_Inventory!D260="","Missing","OK")</f>
        <v>OK</v>
      </c>
      <c r="E260" t="str">
        <f t="shared" si="4"/>
        <v>Check Record</v>
      </c>
    </row>
    <row r="261" spans="1:5" x14ac:dyDescent="0.25">
      <c r="A261" t="str">
        <f>Raw_Inventory!A261</f>
        <v>P1260</v>
      </c>
      <c r="B261" t="str">
        <f>IF(COUNTIF(Raw_Inventory!A:A,A261)&gt;1,"Duplicate","OK")</f>
        <v>OK</v>
      </c>
      <c r="C261" t="str">
        <f>IF(Raw_Inventory!E261-Raw_Inventory!F261&lt;0,"Error","OK")</f>
        <v>OK</v>
      </c>
      <c r="D261" t="str">
        <f>IF(Raw_Inventory!D261="","Missing","OK")</f>
        <v>OK</v>
      </c>
      <c r="E261" t="str">
        <f t="shared" si="4"/>
        <v>Valid</v>
      </c>
    </row>
    <row r="262" spans="1:5" x14ac:dyDescent="0.25">
      <c r="A262" t="str">
        <f>Raw_Inventory!A262</f>
        <v>P1261</v>
      </c>
      <c r="B262" t="str">
        <f>IF(COUNTIF(Raw_Inventory!A:A,A262)&gt;1,"Duplicate","OK")</f>
        <v>OK</v>
      </c>
      <c r="C262" t="str">
        <f>IF(Raw_Inventory!E262-Raw_Inventory!F262&lt;0,"Error","OK")</f>
        <v>OK</v>
      </c>
      <c r="D262" t="str">
        <f>IF(Raw_Inventory!D262="","Missing","OK")</f>
        <v>OK</v>
      </c>
      <c r="E262" t="str">
        <f t="shared" si="4"/>
        <v>Valid</v>
      </c>
    </row>
    <row r="263" spans="1:5" x14ac:dyDescent="0.25">
      <c r="A263" t="str">
        <f>Raw_Inventory!A263</f>
        <v>P1262</v>
      </c>
      <c r="B263" t="str">
        <f>IF(COUNTIF(Raw_Inventory!A:A,A263)&gt;1,"Duplicate","OK")</f>
        <v>OK</v>
      </c>
      <c r="C263" t="str">
        <f>IF(Raw_Inventory!E263-Raw_Inventory!F263&lt;0,"Error","OK")</f>
        <v>Error</v>
      </c>
      <c r="D263" t="str">
        <f>IF(Raw_Inventory!D263="","Missing","OK")</f>
        <v>OK</v>
      </c>
      <c r="E263" t="str">
        <f t="shared" si="4"/>
        <v>Check Record</v>
      </c>
    </row>
    <row r="264" spans="1:5" x14ac:dyDescent="0.25">
      <c r="A264" t="str">
        <f>Raw_Inventory!A264</f>
        <v>P1263</v>
      </c>
      <c r="B264" t="str">
        <f>IF(COUNTIF(Raw_Inventory!A:A,A264)&gt;1,"Duplicate","OK")</f>
        <v>OK</v>
      </c>
      <c r="C264" t="str">
        <f>IF(Raw_Inventory!E264-Raw_Inventory!F264&lt;0,"Error","OK")</f>
        <v>OK</v>
      </c>
      <c r="D264" t="str">
        <f>IF(Raw_Inventory!D264="","Missing","OK")</f>
        <v>OK</v>
      </c>
      <c r="E264" t="str">
        <f t="shared" si="4"/>
        <v>Valid</v>
      </c>
    </row>
    <row r="265" spans="1:5" x14ac:dyDescent="0.25">
      <c r="A265" t="str">
        <f>Raw_Inventory!A265</f>
        <v>P1264</v>
      </c>
      <c r="B265" t="str">
        <f>IF(COUNTIF(Raw_Inventory!A:A,A265)&gt;1,"Duplicate","OK")</f>
        <v>OK</v>
      </c>
      <c r="C265" t="str">
        <f>IF(Raw_Inventory!E265-Raw_Inventory!F265&lt;0,"Error","OK")</f>
        <v>OK</v>
      </c>
      <c r="D265" t="str">
        <f>IF(Raw_Inventory!D265="","Missing","OK")</f>
        <v>OK</v>
      </c>
      <c r="E265" t="str">
        <f t="shared" si="4"/>
        <v>Valid</v>
      </c>
    </row>
    <row r="266" spans="1:5" x14ac:dyDescent="0.25">
      <c r="A266" t="str">
        <f>Raw_Inventory!A266</f>
        <v>P1265</v>
      </c>
      <c r="B266" t="str">
        <f>IF(COUNTIF(Raw_Inventory!A:A,A266)&gt;1,"Duplicate","OK")</f>
        <v>OK</v>
      </c>
      <c r="C266" t="str">
        <f>IF(Raw_Inventory!E266-Raw_Inventory!F266&lt;0,"Error","OK")</f>
        <v>Error</v>
      </c>
      <c r="D266" t="str">
        <f>IF(Raw_Inventory!D266="","Missing","OK")</f>
        <v>OK</v>
      </c>
      <c r="E266" t="str">
        <f t="shared" si="4"/>
        <v>Check Record</v>
      </c>
    </row>
    <row r="267" spans="1:5" x14ac:dyDescent="0.25">
      <c r="A267" t="str">
        <f>Raw_Inventory!A267</f>
        <v>P1266</v>
      </c>
      <c r="B267" t="str">
        <f>IF(COUNTIF(Raw_Inventory!A:A,A267)&gt;1,"Duplicate","OK")</f>
        <v>OK</v>
      </c>
      <c r="C267" t="str">
        <f>IF(Raw_Inventory!E267-Raw_Inventory!F267&lt;0,"Error","OK")</f>
        <v>Error</v>
      </c>
      <c r="D267" t="str">
        <f>IF(Raw_Inventory!D267="","Missing","OK")</f>
        <v>OK</v>
      </c>
      <c r="E267" t="str">
        <f t="shared" si="4"/>
        <v>Check Record</v>
      </c>
    </row>
    <row r="268" spans="1:5" x14ac:dyDescent="0.25">
      <c r="A268" t="str">
        <f>Raw_Inventory!A268</f>
        <v>P1267</v>
      </c>
      <c r="B268" t="str">
        <f>IF(COUNTIF(Raw_Inventory!A:A,A268)&gt;1,"Duplicate","OK")</f>
        <v>OK</v>
      </c>
      <c r="C268" t="str">
        <f>IF(Raw_Inventory!E268-Raw_Inventory!F268&lt;0,"Error","OK")</f>
        <v>Error</v>
      </c>
      <c r="D268" t="str">
        <f>IF(Raw_Inventory!D268="","Missing","OK")</f>
        <v>OK</v>
      </c>
      <c r="E268" t="str">
        <f t="shared" si="4"/>
        <v>Check Record</v>
      </c>
    </row>
    <row r="269" spans="1:5" x14ac:dyDescent="0.25">
      <c r="A269" t="str">
        <f>Raw_Inventory!A269</f>
        <v>P1268</v>
      </c>
      <c r="B269" t="str">
        <f>IF(COUNTIF(Raw_Inventory!A:A,A269)&gt;1,"Duplicate","OK")</f>
        <v>OK</v>
      </c>
      <c r="C269" t="str">
        <f>IF(Raw_Inventory!E269-Raw_Inventory!F269&lt;0,"Error","OK")</f>
        <v>Error</v>
      </c>
      <c r="D269" t="str">
        <f>IF(Raw_Inventory!D269="","Missing","OK")</f>
        <v>OK</v>
      </c>
      <c r="E269" t="str">
        <f t="shared" si="4"/>
        <v>Check Record</v>
      </c>
    </row>
    <row r="270" spans="1:5" x14ac:dyDescent="0.25">
      <c r="A270" t="str">
        <f>Raw_Inventory!A270</f>
        <v>P1269</v>
      </c>
      <c r="B270" t="str">
        <f>IF(COUNTIF(Raw_Inventory!A:A,A270)&gt;1,"Duplicate","OK")</f>
        <v>OK</v>
      </c>
      <c r="C270" t="str">
        <f>IF(Raw_Inventory!E270-Raw_Inventory!F270&lt;0,"Error","OK")</f>
        <v>Error</v>
      </c>
      <c r="D270" t="str">
        <f>IF(Raw_Inventory!D270="","Missing","OK")</f>
        <v>OK</v>
      </c>
      <c r="E270" t="str">
        <f t="shared" si="4"/>
        <v>Check Record</v>
      </c>
    </row>
    <row r="271" spans="1:5" x14ac:dyDescent="0.25">
      <c r="A271" t="str">
        <f>Raw_Inventory!A271</f>
        <v>P1270</v>
      </c>
      <c r="B271" t="str">
        <f>IF(COUNTIF(Raw_Inventory!A:A,A271)&gt;1,"Duplicate","OK")</f>
        <v>OK</v>
      </c>
      <c r="C271" t="str">
        <f>IF(Raw_Inventory!E271-Raw_Inventory!F271&lt;0,"Error","OK")</f>
        <v>OK</v>
      </c>
      <c r="D271" t="str">
        <f>IF(Raw_Inventory!D271="","Missing","OK")</f>
        <v>OK</v>
      </c>
      <c r="E271" t="str">
        <f t="shared" si="4"/>
        <v>Valid</v>
      </c>
    </row>
    <row r="272" spans="1:5" x14ac:dyDescent="0.25">
      <c r="A272" t="str">
        <f>Raw_Inventory!A272</f>
        <v>P1271</v>
      </c>
      <c r="B272" t="str">
        <f>IF(COUNTIF(Raw_Inventory!A:A,A272)&gt;1,"Duplicate","OK")</f>
        <v>OK</v>
      </c>
      <c r="C272" t="str">
        <f>IF(Raw_Inventory!E272-Raw_Inventory!F272&lt;0,"Error","OK")</f>
        <v>OK</v>
      </c>
      <c r="D272" t="str">
        <f>IF(Raw_Inventory!D272="","Missing","OK")</f>
        <v>OK</v>
      </c>
      <c r="E272" t="str">
        <f t="shared" si="4"/>
        <v>Valid</v>
      </c>
    </row>
    <row r="273" spans="1:5" x14ac:dyDescent="0.25">
      <c r="A273" t="str">
        <f>Raw_Inventory!A273</f>
        <v>P1272</v>
      </c>
      <c r="B273" t="str">
        <f>IF(COUNTIF(Raw_Inventory!A:A,A273)&gt;1,"Duplicate","OK")</f>
        <v>OK</v>
      </c>
      <c r="C273" t="str">
        <f>IF(Raw_Inventory!E273-Raw_Inventory!F273&lt;0,"Error","OK")</f>
        <v>OK</v>
      </c>
      <c r="D273" t="str">
        <f>IF(Raw_Inventory!D273="","Missing","OK")</f>
        <v>OK</v>
      </c>
      <c r="E273" t="str">
        <f t="shared" si="4"/>
        <v>Valid</v>
      </c>
    </row>
    <row r="274" spans="1:5" x14ac:dyDescent="0.25">
      <c r="A274" t="str">
        <f>Raw_Inventory!A274</f>
        <v>P1273</v>
      </c>
      <c r="B274" t="str">
        <f>IF(COUNTIF(Raw_Inventory!A:A,A274)&gt;1,"Duplicate","OK")</f>
        <v>OK</v>
      </c>
      <c r="C274" t="str">
        <f>IF(Raw_Inventory!E274-Raw_Inventory!F274&lt;0,"Error","OK")</f>
        <v>OK</v>
      </c>
      <c r="D274" t="str">
        <f>IF(Raw_Inventory!D274="","Missing","OK")</f>
        <v>OK</v>
      </c>
      <c r="E274" t="str">
        <f t="shared" si="4"/>
        <v>Valid</v>
      </c>
    </row>
    <row r="275" spans="1:5" x14ac:dyDescent="0.25">
      <c r="A275" t="str">
        <f>Raw_Inventory!A275</f>
        <v>P1274</v>
      </c>
      <c r="B275" t="str">
        <f>IF(COUNTIF(Raw_Inventory!A:A,A275)&gt;1,"Duplicate","OK")</f>
        <v>OK</v>
      </c>
      <c r="C275" t="str">
        <f>IF(Raw_Inventory!E275-Raw_Inventory!F275&lt;0,"Error","OK")</f>
        <v>OK</v>
      </c>
      <c r="D275" t="str">
        <f>IF(Raw_Inventory!D275="","Missing","OK")</f>
        <v>OK</v>
      </c>
      <c r="E275" t="str">
        <f t="shared" si="4"/>
        <v>Valid</v>
      </c>
    </row>
    <row r="276" spans="1:5" x14ac:dyDescent="0.25">
      <c r="A276" t="str">
        <f>Raw_Inventory!A276</f>
        <v>P1275</v>
      </c>
      <c r="B276" t="str">
        <f>IF(COUNTIF(Raw_Inventory!A:A,A276)&gt;1,"Duplicate","OK")</f>
        <v>OK</v>
      </c>
      <c r="C276" t="str">
        <f>IF(Raw_Inventory!E276-Raw_Inventory!F276&lt;0,"Error","OK")</f>
        <v>OK</v>
      </c>
      <c r="D276" t="str">
        <f>IF(Raw_Inventory!D276="","Missing","OK")</f>
        <v>OK</v>
      </c>
      <c r="E276" t="str">
        <f t="shared" si="4"/>
        <v>Valid</v>
      </c>
    </row>
    <row r="277" spans="1:5" x14ac:dyDescent="0.25">
      <c r="A277" t="str">
        <f>Raw_Inventory!A277</f>
        <v>P1276</v>
      </c>
      <c r="B277" t="str">
        <f>IF(COUNTIF(Raw_Inventory!A:A,A277)&gt;1,"Duplicate","OK")</f>
        <v>OK</v>
      </c>
      <c r="C277" t="str">
        <f>IF(Raw_Inventory!E277-Raw_Inventory!F277&lt;0,"Error","OK")</f>
        <v>Error</v>
      </c>
      <c r="D277" t="str">
        <f>IF(Raw_Inventory!D277="","Missing","OK")</f>
        <v>OK</v>
      </c>
      <c r="E277" t="str">
        <f t="shared" si="4"/>
        <v>Check Record</v>
      </c>
    </row>
    <row r="278" spans="1:5" x14ac:dyDescent="0.25">
      <c r="A278" t="str">
        <f>Raw_Inventory!A278</f>
        <v>P1277</v>
      </c>
      <c r="B278" t="str">
        <f>IF(COUNTIF(Raw_Inventory!A:A,A278)&gt;1,"Duplicate","OK")</f>
        <v>OK</v>
      </c>
      <c r="C278" t="str">
        <f>IF(Raw_Inventory!E278-Raw_Inventory!F278&lt;0,"Error","OK")</f>
        <v>Error</v>
      </c>
      <c r="D278" t="str">
        <f>IF(Raw_Inventory!D278="","Missing","OK")</f>
        <v>OK</v>
      </c>
      <c r="E278" t="str">
        <f t="shared" si="4"/>
        <v>Check Record</v>
      </c>
    </row>
    <row r="279" spans="1:5" x14ac:dyDescent="0.25">
      <c r="A279" t="str">
        <f>Raw_Inventory!A279</f>
        <v>P1278</v>
      </c>
      <c r="B279" t="str">
        <f>IF(COUNTIF(Raw_Inventory!A:A,A279)&gt;1,"Duplicate","OK")</f>
        <v>OK</v>
      </c>
      <c r="C279" t="str">
        <f>IF(Raw_Inventory!E279-Raw_Inventory!F279&lt;0,"Error","OK")</f>
        <v>OK</v>
      </c>
      <c r="D279" t="str">
        <f>IF(Raw_Inventory!D279="","Missing","OK")</f>
        <v>OK</v>
      </c>
      <c r="E279" t="str">
        <f t="shared" si="4"/>
        <v>Valid</v>
      </c>
    </row>
    <row r="280" spans="1:5" x14ac:dyDescent="0.25">
      <c r="A280" t="str">
        <f>Raw_Inventory!A280</f>
        <v>P1279</v>
      </c>
      <c r="B280" t="str">
        <f>IF(COUNTIF(Raw_Inventory!A:A,A280)&gt;1,"Duplicate","OK")</f>
        <v>OK</v>
      </c>
      <c r="C280" t="str">
        <f>IF(Raw_Inventory!E280-Raw_Inventory!F280&lt;0,"Error","OK")</f>
        <v>OK</v>
      </c>
      <c r="D280" t="str">
        <f>IF(Raw_Inventory!D280="","Missing","OK")</f>
        <v>OK</v>
      </c>
      <c r="E280" t="str">
        <f t="shared" si="4"/>
        <v>Valid</v>
      </c>
    </row>
    <row r="281" spans="1:5" x14ac:dyDescent="0.25">
      <c r="A281" t="str">
        <f>Raw_Inventory!A281</f>
        <v>P1280</v>
      </c>
      <c r="B281" t="str">
        <f>IF(COUNTIF(Raw_Inventory!A:A,A281)&gt;1,"Duplicate","OK")</f>
        <v>OK</v>
      </c>
      <c r="C281" t="str">
        <f>IF(Raw_Inventory!E281-Raw_Inventory!F281&lt;0,"Error","OK")</f>
        <v>OK</v>
      </c>
      <c r="D281" t="str">
        <f>IF(Raw_Inventory!D281="","Missing","OK")</f>
        <v>OK</v>
      </c>
      <c r="E281" t="str">
        <f t="shared" si="4"/>
        <v>Valid</v>
      </c>
    </row>
    <row r="282" spans="1:5" x14ac:dyDescent="0.25">
      <c r="A282" t="str">
        <f>Raw_Inventory!A282</f>
        <v>P1281</v>
      </c>
      <c r="B282" t="str">
        <f>IF(COUNTIF(Raw_Inventory!A:A,A282)&gt;1,"Duplicate","OK")</f>
        <v>OK</v>
      </c>
      <c r="C282" t="str">
        <f>IF(Raw_Inventory!E282-Raw_Inventory!F282&lt;0,"Error","OK")</f>
        <v>Error</v>
      </c>
      <c r="D282" t="str">
        <f>IF(Raw_Inventory!D282="","Missing","OK")</f>
        <v>OK</v>
      </c>
      <c r="E282" t="str">
        <f t="shared" si="4"/>
        <v>Check Record</v>
      </c>
    </row>
    <row r="283" spans="1:5" x14ac:dyDescent="0.25">
      <c r="A283" t="str">
        <f>Raw_Inventory!A283</f>
        <v>P1282</v>
      </c>
      <c r="B283" t="str">
        <f>IF(COUNTIF(Raw_Inventory!A:A,A283)&gt;1,"Duplicate","OK")</f>
        <v>OK</v>
      </c>
      <c r="C283" t="str">
        <f>IF(Raw_Inventory!E283-Raw_Inventory!F283&lt;0,"Error","OK")</f>
        <v>OK</v>
      </c>
      <c r="D283" t="str">
        <f>IF(Raw_Inventory!D283="","Missing","OK")</f>
        <v>OK</v>
      </c>
      <c r="E283" t="str">
        <f t="shared" si="4"/>
        <v>Valid</v>
      </c>
    </row>
    <row r="284" spans="1:5" x14ac:dyDescent="0.25">
      <c r="A284" t="str">
        <f>Raw_Inventory!A284</f>
        <v>P1283</v>
      </c>
      <c r="B284" t="str">
        <f>IF(COUNTIF(Raw_Inventory!A:A,A284)&gt;1,"Duplicate","OK")</f>
        <v>OK</v>
      </c>
      <c r="C284" t="str">
        <f>IF(Raw_Inventory!E284-Raw_Inventory!F284&lt;0,"Error","OK")</f>
        <v>OK</v>
      </c>
      <c r="D284" t="str">
        <f>IF(Raw_Inventory!D284="","Missing","OK")</f>
        <v>OK</v>
      </c>
      <c r="E284" t="str">
        <f t="shared" si="4"/>
        <v>Valid</v>
      </c>
    </row>
    <row r="285" spans="1:5" x14ac:dyDescent="0.25">
      <c r="A285" t="str">
        <f>Raw_Inventory!A285</f>
        <v>P1284</v>
      </c>
      <c r="B285" t="str">
        <f>IF(COUNTIF(Raw_Inventory!A:A,A285)&gt;1,"Duplicate","OK")</f>
        <v>OK</v>
      </c>
      <c r="C285" t="str">
        <f>IF(Raw_Inventory!E285-Raw_Inventory!F285&lt;0,"Error","OK")</f>
        <v>OK</v>
      </c>
      <c r="D285" t="str">
        <f>IF(Raw_Inventory!D285="","Missing","OK")</f>
        <v>OK</v>
      </c>
      <c r="E285" t="str">
        <f t="shared" si="4"/>
        <v>Valid</v>
      </c>
    </row>
    <row r="286" spans="1:5" x14ac:dyDescent="0.25">
      <c r="A286" t="str">
        <f>Raw_Inventory!A286</f>
        <v>P1285</v>
      </c>
      <c r="B286" t="str">
        <f>IF(COUNTIF(Raw_Inventory!A:A,A286)&gt;1,"Duplicate","OK")</f>
        <v>OK</v>
      </c>
      <c r="C286" t="str">
        <f>IF(Raw_Inventory!E286-Raw_Inventory!F286&lt;0,"Error","OK")</f>
        <v>Error</v>
      </c>
      <c r="D286" t="str">
        <f>IF(Raw_Inventory!D286="","Missing","OK")</f>
        <v>OK</v>
      </c>
      <c r="E286" t="str">
        <f t="shared" si="4"/>
        <v>Check Record</v>
      </c>
    </row>
    <row r="287" spans="1:5" x14ac:dyDescent="0.25">
      <c r="A287" t="str">
        <f>Raw_Inventory!A287</f>
        <v>P1286</v>
      </c>
      <c r="B287" t="str">
        <f>IF(COUNTIF(Raw_Inventory!A:A,A287)&gt;1,"Duplicate","OK")</f>
        <v>OK</v>
      </c>
      <c r="C287" t="str">
        <f>IF(Raw_Inventory!E287-Raw_Inventory!F287&lt;0,"Error","OK")</f>
        <v>OK</v>
      </c>
      <c r="D287" t="str">
        <f>IF(Raw_Inventory!D287="","Missing","OK")</f>
        <v>OK</v>
      </c>
      <c r="E287" t="str">
        <f t="shared" si="4"/>
        <v>Valid</v>
      </c>
    </row>
    <row r="288" spans="1:5" x14ac:dyDescent="0.25">
      <c r="A288" t="str">
        <f>Raw_Inventory!A288</f>
        <v>P1287</v>
      </c>
      <c r="B288" t="str">
        <f>IF(COUNTIF(Raw_Inventory!A:A,A288)&gt;1,"Duplicate","OK")</f>
        <v>OK</v>
      </c>
      <c r="C288" t="str">
        <f>IF(Raw_Inventory!E288-Raw_Inventory!F288&lt;0,"Error","OK")</f>
        <v>Error</v>
      </c>
      <c r="D288" t="str">
        <f>IF(Raw_Inventory!D288="","Missing","OK")</f>
        <v>OK</v>
      </c>
      <c r="E288" t="str">
        <f t="shared" si="4"/>
        <v>Check Record</v>
      </c>
    </row>
    <row r="289" spans="1:5" x14ac:dyDescent="0.25">
      <c r="A289" t="str">
        <f>Raw_Inventory!A289</f>
        <v>P1288</v>
      </c>
      <c r="B289" t="str">
        <f>IF(COUNTIF(Raw_Inventory!A:A,A289)&gt;1,"Duplicate","OK")</f>
        <v>OK</v>
      </c>
      <c r="C289" t="str">
        <f>IF(Raw_Inventory!E289-Raw_Inventory!F289&lt;0,"Error","OK")</f>
        <v>OK</v>
      </c>
      <c r="D289" t="str">
        <f>IF(Raw_Inventory!D289="","Missing","OK")</f>
        <v>OK</v>
      </c>
      <c r="E289" t="str">
        <f t="shared" si="4"/>
        <v>Valid</v>
      </c>
    </row>
    <row r="290" spans="1:5" x14ac:dyDescent="0.25">
      <c r="A290" t="str">
        <f>Raw_Inventory!A290</f>
        <v>P1289</v>
      </c>
      <c r="B290" t="str">
        <f>IF(COUNTIF(Raw_Inventory!A:A,A290)&gt;1,"Duplicate","OK")</f>
        <v>OK</v>
      </c>
      <c r="C290" t="str">
        <f>IF(Raw_Inventory!E290-Raw_Inventory!F290&lt;0,"Error","OK")</f>
        <v>OK</v>
      </c>
      <c r="D290" t="str">
        <f>IF(Raw_Inventory!D290="","Missing","OK")</f>
        <v>OK</v>
      </c>
      <c r="E290" t="str">
        <f t="shared" si="4"/>
        <v>Valid</v>
      </c>
    </row>
    <row r="291" spans="1:5" x14ac:dyDescent="0.25">
      <c r="A291" t="str">
        <f>Raw_Inventory!A291</f>
        <v>P1290</v>
      </c>
      <c r="B291" t="str">
        <f>IF(COUNTIF(Raw_Inventory!A:A,A291)&gt;1,"Duplicate","OK")</f>
        <v>OK</v>
      </c>
      <c r="C291" t="str">
        <f>IF(Raw_Inventory!E291-Raw_Inventory!F291&lt;0,"Error","OK")</f>
        <v>OK</v>
      </c>
      <c r="D291" t="str">
        <f>IF(Raw_Inventory!D291="","Missing","OK")</f>
        <v>OK</v>
      </c>
      <c r="E291" t="str">
        <f t="shared" si="4"/>
        <v>Valid</v>
      </c>
    </row>
    <row r="292" spans="1:5" x14ac:dyDescent="0.25">
      <c r="A292" t="str">
        <f>Raw_Inventory!A292</f>
        <v>P1291</v>
      </c>
      <c r="B292" t="str">
        <f>IF(COUNTIF(Raw_Inventory!A:A,A292)&gt;1,"Duplicate","OK")</f>
        <v>OK</v>
      </c>
      <c r="C292" t="str">
        <f>IF(Raw_Inventory!E292-Raw_Inventory!F292&lt;0,"Error","OK")</f>
        <v>Error</v>
      </c>
      <c r="D292" t="str">
        <f>IF(Raw_Inventory!D292="","Missing","OK")</f>
        <v>OK</v>
      </c>
      <c r="E292" t="str">
        <f t="shared" si="4"/>
        <v>Check Record</v>
      </c>
    </row>
    <row r="293" spans="1:5" x14ac:dyDescent="0.25">
      <c r="A293" t="str">
        <f>Raw_Inventory!A293</f>
        <v>P1292</v>
      </c>
      <c r="B293" t="str">
        <f>IF(COUNTIF(Raw_Inventory!A:A,A293)&gt;1,"Duplicate","OK")</f>
        <v>OK</v>
      </c>
      <c r="C293" t="str">
        <f>IF(Raw_Inventory!E293-Raw_Inventory!F293&lt;0,"Error","OK")</f>
        <v>OK</v>
      </c>
      <c r="D293" t="str">
        <f>IF(Raw_Inventory!D293="","Missing","OK")</f>
        <v>OK</v>
      </c>
      <c r="E293" t="str">
        <f t="shared" si="4"/>
        <v>Valid</v>
      </c>
    </row>
    <row r="294" spans="1:5" x14ac:dyDescent="0.25">
      <c r="A294" t="str">
        <f>Raw_Inventory!A294</f>
        <v>P1293</v>
      </c>
      <c r="B294" t="str">
        <f>IF(COUNTIF(Raw_Inventory!A:A,A294)&gt;1,"Duplicate","OK")</f>
        <v>OK</v>
      </c>
      <c r="C294" t="str">
        <f>IF(Raw_Inventory!E294-Raw_Inventory!F294&lt;0,"Error","OK")</f>
        <v>Error</v>
      </c>
      <c r="D294" t="str">
        <f>IF(Raw_Inventory!D294="","Missing","OK")</f>
        <v>OK</v>
      </c>
      <c r="E294" t="str">
        <f t="shared" si="4"/>
        <v>Check Record</v>
      </c>
    </row>
    <row r="295" spans="1:5" x14ac:dyDescent="0.25">
      <c r="A295" t="str">
        <f>Raw_Inventory!A295</f>
        <v>P1294</v>
      </c>
      <c r="B295" t="str">
        <f>IF(COUNTIF(Raw_Inventory!A:A,A295)&gt;1,"Duplicate","OK")</f>
        <v>OK</v>
      </c>
      <c r="C295" t="str">
        <f>IF(Raw_Inventory!E295-Raw_Inventory!F295&lt;0,"Error","OK")</f>
        <v>OK</v>
      </c>
      <c r="D295" t="str">
        <f>IF(Raw_Inventory!D295="","Missing","OK")</f>
        <v>OK</v>
      </c>
      <c r="E295" t="str">
        <f t="shared" si="4"/>
        <v>Valid</v>
      </c>
    </row>
    <row r="296" spans="1:5" x14ac:dyDescent="0.25">
      <c r="A296" t="str">
        <f>Raw_Inventory!A296</f>
        <v>P1295</v>
      </c>
      <c r="B296" t="str">
        <f>IF(COUNTIF(Raw_Inventory!A:A,A296)&gt;1,"Duplicate","OK")</f>
        <v>OK</v>
      </c>
      <c r="C296" t="str">
        <f>IF(Raw_Inventory!E296-Raw_Inventory!F296&lt;0,"Error","OK")</f>
        <v>Error</v>
      </c>
      <c r="D296" t="str">
        <f>IF(Raw_Inventory!D296="","Missing","OK")</f>
        <v>OK</v>
      </c>
      <c r="E296" t="str">
        <f t="shared" si="4"/>
        <v>Check Record</v>
      </c>
    </row>
    <row r="297" spans="1:5" x14ac:dyDescent="0.25">
      <c r="A297" t="str">
        <f>Raw_Inventory!A297</f>
        <v>P1296</v>
      </c>
      <c r="B297" t="str">
        <f>IF(COUNTIF(Raw_Inventory!A:A,A297)&gt;1,"Duplicate","OK")</f>
        <v>OK</v>
      </c>
      <c r="C297" t="str">
        <f>IF(Raw_Inventory!E297-Raw_Inventory!F297&lt;0,"Error","OK")</f>
        <v>Error</v>
      </c>
      <c r="D297" t="str">
        <f>IF(Raw_Inventory!D297="","Missing","OK")</f>
        <v>OK</v>
      </c>
      <c r="E297" t="str">
        <f t="shared" si="4"/>
        <v>Check Record</v>
      </c>
    </row>
    <row r="298" spans="1:5" x14ac:dyDescent="0.25">
      <c r="A298" t="str">
        <f>Raw_Inventory!A298</f>
        <v>P1297</v>
      </c>
      <c r="B298" t="str">
        <f>IF(COUNTIF(Raw_Inventory!A:A,A298)&gt;1,"Duplicate","OK")</f>
        <v>OK</v>
      </c>
      <c r="C298" t="str">
        <f>IF(Raw_Inventory!E298-Raw_Inventory!F298&lt;0,"Error","OK")</f>
        <v>Error</v>
      </c>
      <c r="D298" t="str">
        <f>IF(Raw_Inventory!D298="","Missing","OK")</f>
        <v>OK</v>
      </c>
      <c r="E298" t="str">
        <f t="shared" si="4"/>
        <v>Check Record</v>
      </c>
    </row>
    <row r="299" spans="1:5" x14ac:dyDescent="0.25">
      <c r="A299" t="str">
        <f>Raw_Inventory!A299</f>
        <v>P1298</v>
      </c>
      <c r="B299" t="str">
        <f>IF(COUNTIF(Raw_Inventory!A:A,A299)&gt;1,"Duplicate","OK")</f>
        <v>OK</v>
      </c>
      <c r="C299" t="str">
        <f>IF(Raw_Inventory!E299-Raw_Inventory!F299&lt;0,"Error","OK")</f>
        <v>Error</v>
      </c>
      <c r="D299" t="str">
        <f>IF(Raw_Inventory!D299="","Missing","OK")</f>
        <v>OK</v>
      </c>
      <c r="E299" t="str">
        <f t="shared" si="4"/>
        <v>Check Record</v>
      </c>
    </row>
    <row r="300" spans="1:5" x14ac:dyDescent="0.25">
      <c r="A300" t="str">
        <f>Raw_Inventory!A300</f>
        <v>P1299</v>
      </c>
      <c r="B300" t="str">
        <f>IF(COUNTIF(Raw_Inventory!A:A,A300)&gt;1,"Duplicate","OK")</f>
        <v>OK</v>
      </c>
      <c r="C300" t="str">
        <f>IF(Raw_Inventory!E300-Raw_Inventory!F300&lt;0,"Error","OK")</f>
        <v>Error</v>
      </c>
      <c r="D300" t="str">
        <f>IF(Raw_Inventory!D300="","Missing","OK")</f>
        <v>OK</v>
      </c>
      <c r="E300" t="str">
        <f t="shared" si="4"/>
        <v>Check Record</v>
      </c>
    </row>
    <row r="301" spans="1:5" x14ac:dyDescent="0.25">
      <c r="A301" t="str">
        <f>Raw_Inventory!A301</f>
        <v>P1300</v>
      </c>
      <c r="B301" t="str">
        <f>IF(COUNTIF(Raw_Inventory!A:A,A301)&gt;1,"Duplicate","OK")</f>
        <v>OK</v>
      </c>
      <c r="C301" t="str">
        <f>IF(Raw_Inventory!E301-Raw_Inventory!F301&lt;0,"Error","OK")</f>
        <v>OK</v>
      </c>
      <c r="D301" t="str">
        <f>IF(Raw_Inventory!D301="","Missing","OK")</f>
        <v>OK</v>
      </c>
      <c r="E301" t="str">
        <f t="shared" si="4"/>
        <v>Valid</v>
      </c>
    </row>
    <row r="302" spans="1:5" x14ac:dyDescent="0.25">
      <c r="A302" t="str">
        <f>Raw_Inventory!A302</f>
        <v>P1301</v>
      </c>
      <c r="B302" t="str">
        <f>IF(COUNTIF(Raw_Inventory!A:A,A302)&gt;1,"Duplicate","OK")</f>
        <v>OK</v>
      </c>
      <c r="C302" t="str">
        <f>IF(Raw_Inventory!E302-Raw_Inventory!F302&lt;0,"Error","OK")</f>
        <v>Error</v>
      </c>
      <c r="D302" t="str">
        <f>IF(Raw_Inventory!D302="","Missing","OK")</f>
        <v>OK</v>
      </c>
      <c r="E302" t="str">
        <f t="shared" si="4"/>
        <v>Check Record</v>
      </c>
    </row>
    <row r="303" spans="1:5" x14ac:dyDescent="0.25">
      <c r="A303" t="str">
        <f>Raw_Inventory!A303</f>
        <v>P1302</v>
      </c>
      <c r="B303" t="str">
        <f>IF(COUNTIF(Raw_Inventory!A:A,A303)&gt;1,"Duplicate","OK")</f>
        <v>OK</v>
      </c>
      <c r="C303" t="str">
        <f>IF(Raw_Inventory!E303-Raw_Inventory!F303&lt;0,"Error","OK")</f>
        <v>Error</v>
      </c>
      <c r="D303" t="str">
        <f>IF(Raw_Inventory!D303="","Missing","OK")</f>
        <v>OK</v>
      </c>
      <c r="E303" t="str">
        <f t="shared" si="4"/>
        <v>Check Record</v>
      </c>
    </row>
    <row r="304" spans="1:5" x14ac:dyDescent="0.25">
      <c r="A304" t="str">
        <f>Raw_Inventory!A304</f>
        <v>P1303</v>
      </c>
      <c r="B304" t="str">
        <f>IF(COUNTIF(Raw_Inventory!A:A,A304)&gt;1,"Duplicate","OK")</f>
        <v>OK</v>
      </c>
      <c r="C304" t="str">
        <f>IF(Raw_Inventory!E304-Raw_Inventory!F304&lt;0,"Error","OK")</f>
        <v>Error</v>
      </c>
      <c r="D304" t="str">
        <f>IF(Raw_Inventory!D304="","Missing","OK")</f>
        <v>OK</v>
      </c>
      <c r="E304" t="str">
        <f t="shared" si="4"/>
        <v>Check Record</v>
      </c>
    </row>
    <row r="305" spans="1:5" x14ac:dyDescent="0.25">
      <c r="A305" t="str">
        <f>Raw_Inventory!A305</f>
        <v>P1304</v>
      </c>
      <c r="B305" t="str">
        <f>IF(COUNTIF(Raw_Inventory!A:A,A305)&gt;1,"Duplicate","OK")</f>
        <v>OK</v>
      </c>
      <c r="C305" t="str">
        <f>IF(Raw_Inventory!E305-Raw_Inventory!F305&lt;0,"Error","OK")</f>
        <v>Error</v>
      </c>
      <c r="D305" t="str">
        <f>IF(Raw_Inventory!D305="","Missing","OK")</f>
        <v>OK</v>
      </c>
      <c r="E305" t="str">
        <f t="shared" si="4"/>
        <v>Check Record</v>
      </c>
    </row>
    <row r="306" spans="1:5" x14ac:dyDescent="0.25">
      <c r="A306" t="str">
        <f>Raw_Inventory!A306</f>
        <v>P1305</v>
      </c>
      <c r="B306" t="str">
        <f>IF(COUNTIF(Raw_Inventory!A:A,A306)&gt;1,"Duplicate","OK")</f>
        <v>OK</v>
      </c>
      <c r="C306" t="str">
        <f>IF(Raw_Inventory!E306-Raw_Inventory!F306&lt;0,"Error","OK")</f>
        <v>Error</v>
      </c>
      <c r="D306" t="str">
        <f>IF(Raw_Inventory!D306="","Missing","OK")</f>
        <v>OK</v>
      </c>
      <c r="E306" t="str">
        <f t="shared" si="4"/>
        <v>Check Record</v>
      </c>
    </row>
    <row r="307" spans="1:5" x14ac:dyDescent="0.25">
      <c r="A307" t="str">
        <f>Raw_Inventory!A307</f>
        <v>P1306</v>
      </c>
      <c r="B307" t="str">
        <f>IF(COUNTIF(Raw_Inventory!A:A,A307)&gt;1,"Duplicate","OK")</f>
        <v>OK</v>
      </c>
      <c r="C307" t="str">
        <f>IF(Raw_Inventory!E307-Raw_Inventory!F307&lt;0,"Error","OK")</f>
        <v>Error</v>
      </c>
      <c r="D307" t="str">
        <f>IF(Raw_Inventory!D307="","Missing","OK")</f>
        <v>OK</v>
      </c>
      <c r="E307" t="str">
        <f t="shared" si="4"/>
        <v>Check Record</v>
      </c>
    </row>
    <row r="308" spans="1:5" x14ac:dyDescent="0.25">
      <c r="A308" t="str">
        <f>Raw_Inventory!A308</f>
        <v>P1307</v>
      </c>
      <c r="B308" t="str">
        <f>IF(COUNTIF(Raw_Inventory!A:A,A308)&gt;1,"Duplicate","OK")</f>
        <v>OK</v>
      </c>
      <c r="C308" t="str">
        <f>IF(Raw_Inventory!E308-Raw_Inventory!F308&lt;0,"Error","OK")</f>
        <v>OK</v>
      </c>
      <c r="D308" t="str">
        <f>IF(Raw_Inventory!D308="","Missing","OK")</f>
        <v>OK</v>
      </c>
      <c r="E308" t="str">
        <f t="shared" si="4"/>
        <v>Valid</v>
      </c>
    </row>
    <row r="309" spans="1:5" x14ac:dyDescent="0.25">
      <c r="A309" t="str">
        <f>Raw_Inventory!A309</f>
        <v>P1308</v>
      </c>
      <c r="B309" t="str">
        <f>IF(COUNTIF(Raw_Inventory!A:A,A309)&gt;1,"Duplicate","OK")</f>
        <v>OK</v>
      </c>
      <c r="C309" t="str">
        <f>IF(Raw_Inventory!E309-Raw_Inventory!F309&lt;0,"Error","OK")</f>
        <v>OK</v>
      </c>
      <c r="D309" t="str">
        <f>IF(Raw_Inventory!D309="","Missing","OK")</f>
        <v>OK</v>
      </c>
      <c r="E309" t="str">
        <f t="shared" si="4"/>
        <v>Valid</v>
      </c>
    </row>
    <row r="310" spans="1:5" x14ac:dyDescent="0.25">
      <c r="A310" t="str">
        <f>Raw_Inventory!A310</f>
        <v>P1309</v>
      </c>
      <c r="B310" t="str">
        <f>IF(COUNTIF(Raw_Inventory!A:A,A310)&gt;1,"Duplicate","OK")</f>
        <v>OK</v>
      </c>
      <c r="C310" t="str">
        <f>IF(Raw_Inventory!E310-Raw_Inventory!F310&lt;0,"Error","OK")</f>
        <v>OK</v>
      </c>
      <c r="D310" t="str">
        <f>IF(Raw_Inventory!D310="","Missing","OK")</f>
        <v>OK</v>
      </c>
      <c r="E310" t="str">
        <f t="shared" si="4"/>
        <v>Valid</v>
      </c>
    </row>
    <row r="311" spans="1:5" x14ac:dyDescent="0.25">
      <c r="A311" t="str">
        <f>Raw_Inventory!A311</f>
        <v>P1310</v>
      </c>
      <c r="B311" t="str">
        <f>IF(COUNTIF(Raw_Inventory!A:A,A311)&gt;1,"Duplicate","OK")</f>
        <v>OK</v>
      </c>
      <c r="C311" t="str">
        <f>IF(Raw_Inventory!E311-Raw_Inventory!F311&lt;0,"Error","OK")</f>
        <v>Error</v>
      </c>
      <c r="D311" t="str">
        <f>IF(Raw_Inventory!D311="","Missing","OK")</f>
        <v>OK</v>
      </c>
      <c r="E311" t="str">
        <f t="shared" si="4"/>
        <v>Check Record</v>
      </c>
    </row>
    <row r="312" spans="1:5" x14ac:dyDescent="0.25">
      <c r="A312" t="str">
        <f>Raw_Inventory!A312</f>
        <v>P1311</v>
      </c>
      <c r="B312" t="str">
        <f>IF(COUNTIF(Raw_Inventory!A:A,A312)&gt;1,"Duplicate","OK")</f>
        <v>OK</v>
      </c>
      <c r="C312" t="str">
        <f>IF(Raw_Inventory!E312-Raw_Inventory!F312&lt;0,"Error","OK")</f>
        <v>Error</v>
      </c>
      <c r="D312" t="str">
        <f>IF(Raw_Inventory!D312="","Missing","OK")</f>
        <v>OK</v>
      </c>
      <c r="E312" t="str">
        <f t="shared" si="4"/>
        <v>Check Record</v>
      </c>
    </row>
    <row r="313" spans="1:5" x14ac:dyDescent="0.25">
      <c r="A313" t="str">
        <f>Raw_Inventory!A313</f>
        <v>P1312</v>
      </c>
      <c r="B313" t="str">
        <f>IF(COUNTIF(Raw_Inventory!A:A,A313)&gt;1,"Duplicate","OK")</f>
        <v>OK</v>
      </c>
      <c r="C313" t="str">
        <f>IF(Raw_Inventory!E313-Raw_Inventory!F313&lt;0,"Error","OK")</f>
        <v>OK</v>
      </c>
      <c r="D313" t="str">
        <f>IF(Raw_Inventory!D313="","Missing","OK")</f>
        <v>OK</v>
      </c>
      <c r="E313" t="str">
        <f t="shared" si="4"/>
        <v>Valid</v>
      </c>
    </row>
    <row r="314" spans="1:5" x14ac:dyDescent="0.25">
      <c r="A314" t="str">
        <f>Raw_Inventory!A314</f>
        <v>P1313</v>
      </c>
      <c r="B314" t="str">
        <f>IF(COUNTIF(Raw_Inventory!A:A,A314)&gt;1,"Duplicate","OK")</f>
        <v>OK</v>
      </c>
      <c r="C314" t="str">
        <f>IF(Raw_Inventory!E314-Raw_Inventory!F314&lt;0,"Error","OK")</f>
        <v>OK</v>
      </c>
      <c r="D314" t="str">
        <f>IF(Raw_Inventory!D314="","Missing","OK")</f>
        <v>OK</v>
      </c>
      <c r="E314" t="str">
        <f t="shared" si="4"/>
        <v>Valid</v>
      </c>
    </row>
    <row r="315" spans="1:5" x14ac:dyDescent="0.25">
      <c r="A315" t="str">
        <f>Raw_Inventory!A315</f>
        <v>P1314</v>
      </c>
      <c r="B315" t="str">
        <f>IF(COUNTIF(Raw_Inventory!A:A,A315)&gt;1,"Duplicate","OK")</f>
        <v>OK</v>
      </c>
      <c r="C315" t="str">
        <f>IF(Raw_Inventory!E315-Raw_Inventory!F315&lt;0,"Error","OK")</f>
        <v>OK</v>
      </c>
      <c r="D315" t="str">
        <f>IF(Raw_Inventory!D315="","Missing","OK")</f>
        <v>OK</v>
      </c>
      <c r="E315" t="str">
        <f t="shared" si="4"/>
        <v>Valid</v>
      </c>
    </row>
    <row r="316" spans="1:5" x14ac:dyDescent="0.25">
      <c r="A316" t="str">
        <f>Raw_Inventory!A316</f>
        <v>P1315</v>
      </c>
      <c r="B316" t="str">
        <f>IF(COUNTIF(Raw_Inventory!A:A,A316)&gt;1,"Duplicate","OK")</f>
        <v>OK</v>
      </c>
      <c r="C316" t="str">
        <f>IF(Raw_Inventory!E316-Raw_Inventory!F316&lt;0,"Error","OK")</f>
        <v>OK</v>
      </c>
      <c r="D316" t="str">
        <f>IF(Raw_Inventory!D316="","Missing","OK")</f>
        <v>OK</v>
      </c>
      <c r="E316" t="str">
        <f t="shared" si="4"/>
        <v>Valid</v>
      </c>
    </row>
    <row r="317" spans="1:5" x14ac:dyDescent="0.25">
      <c r="A317" t="str">
        <f>Raw_Inventory!A317</f>
        <v>P1316</v>
      </c>
      <c r="B317" t="str">
        <f>IF(COUNTIF(Raw_Inventory!A:A,A317)&gt;1,"Duplicate","OK")</f>
        <v>OK</v>
      </c>
      <c r="C317" t="str">
        <f>IF(Raw_Inventory!E317-Raw_Inventory!F317&lt;0,"Error","OK")</f>
        <v>OK</v>
      </c>
      <c r="D317" t="str">
        <f>IF(Raw_Inventory!D317="","Missing","OK")</f>
        <v>OK</v>
      </c>
      <c r="E317" t="str">
        <f t="shared" si="4"/>
        <v>Valid</v>
      </c>
    </row>
    <row r="318" spans="1:5" x14ac:dyDescent="0.25">
      <c r="A318" t="str">
        <f>Raw_Inventory!A318</f>
        <v>P1317</v>
      </c>
      <c r="B318" t="str">
        <f>IF(COUNTIF(Raw_Inventory!A:A,A318)&gt;1,"Duplicate","OK")</f>
        <v>OK</v>
      </c>
      <c r="C318" t="str">
        <f>IF(Raw_Inventory!E318-Raw_Inventory!F318&lt;0,"Error","OK")</f>
        <v>Error</v>
      </c>
      <c r="D318" t="str">
        <f>IF(Raw_Inventory!D318="","Missing","OK")</f>
        <v>OK</v>
      </c>
      <c r="E318" t="str">
        <f t="shared" si="4"/>
        <v>Check Record</v>
      </c>
    </row>
    <row r="319" spans="1:5" x14ac:dyDescent="0.25">
      <c r="A319" t="str">
        <f>Raw_Inventory!A319</f>
        <v>P1318</v>
      </c>
      <c r="B319" t="str">
        <f>IF(COUNTIF(Raw_Inventory!A:A,A319)&gt;1,"Duplicate","OK")</f>
        <v>OK</v>
      </c>
      <c r="C319" t="str">
        <f>IF(Raw_Inventory!E319-Raw_Inventory!F319&lt;0,"Error","OK")</f>
        <v>Error</v>
      </c>
      <c r="D319" t="str">
        <f>IF(Raw_Inventory!D319="","Missing","OK")</f>
        <v>OK</v>
      </c>
      <c r="E319" t="str">
        <f t="shared" si="4"/>
        <v>Check Record</v>
      </c>
    </row>
    <row r="320" spans="1:5" x14ac:dyDescent="0.25">
      <c r="A320" t="str">
        <f>Raw_Inventory!A320</f>
        <v>P1319</v>
      </c>
      <c r="B320" t="str">
        <f>IF(COUNTIF(Raw_Inventory!A:A,A320)&gt;1,"Duplicate","OK")</f>
        <v>OK</v>
      </c>
      <c r="C320" t="str">
        <f>IF(Raw_Inventory!E320-Raw_Inventory!F320&lt;0,"Error","OK")</f>
        <v>Error</v>
      </c>
      <c r="D320" t="str">
        <f>IF(Raw_Inventory!D320="","Missing","OK")</f>
        <v>OK</v>
      </c>
      <c r="E320" t="str">
        <f t="shared" si="4"/>
        <v>Check Record</v>
      </c>
    </row>
    <row r="321" spans="1:5" x14ac:dyDescent="0.25">
      <c r="A321" t="str">
        <f>Raw_Inventory!A321</f>
        <v>P1320</v>
      </c>
      <c r="B321" t="str">
        <f>IF(COUNTIF(Raw_Inventory!A:A,A321)&gt;1,"Duplicate","OK")</f>
        <v>OK</v>
      </c>
      <c r="C321" t="str">
        <f>IF(Raw_Inventory!E321-Raw_Inventory!F321&lt;0,"Error","OK")</f>
        <v>OK</v>
      </c>
      <c r="D321" t="str">
        <f>IF(Raw_Inventory!D321="","Missing","OK")</f>
        <v>OK</v>
      </c>
      <c r="E321" t="str">
        <f t="shared" si="4"/>
        <v>Valid</v>
      </c>
    </row>
    <row r="322" spans="1:5" x14ac:dyDescent="0.25">
      <c r="A322" t="str">
        <f>Raw_Inventory!A322</f>
        <v>P1321</v>
      </c>
      <c r="B322" t="str">
        <f>IF(COUNTIF(Raw_Inventory!A:A,A322)&gt;1,"Duplicate","OK")</f>
        <v>OK</v>
      </c>
      <c r="C322" t="str">
        <f>IF(Raw_Inventory!E322-Raw_Inventory!F322&lt;0,"Error","OK")</f>
        <v>OK</v>
      </c>
      <c r="D322" t="str">
        <f>IF(Raw_Inventory!D322="","Missing","OK")</f>
        <v>OK</v>
      </c>
      <c r="E322" t="str">
        <f t="shared" si="4"/>
        <v>Valid</v>
      </c>
    </row>
    <row r="323" spans="1:5" x14ac:dyDescent="0.25">
      <c r="A323" t="str">
        <f>Raw_Inventory!A323</f>
        <v>P1322</v>
      </c>
      <c r="B323" t="str">
        <f>IF(COUNTIF(Raw_Inventory!A:A,A323)&gt;1,"Duplicate","OK")</f>
        <v>OK</v>
      </c>
      <c r="C323" t="str">
        <f>IF(Raw_Inventory!E323-Raw_Inventory!F323&lt;0,"Error","OK")</f>
        <v>OK</v>
      </c>
      <c r="D323" t="str">
        <f>IF(Raw_Inventory!D323="","Missing","OK")</f>
        <v>OK</v>
      </c>
      <c r="E323" t="str">
        <f t="shared" ref="E323:E386" si="5">IF(OR(B323="Duplicate",C323="Error",D323="Missing"),"Check Record","Valid")</f>
        <v>Valid</v>
      </c>
    </row>
    <row r="324" spans="1:5" x14ac:dyDescent="0.25">
      <c r="A324" t="str">
        <f>Raw_Inventory!A324</f>
        <v>P1323</v>
      </c>
      <c r="B324" t="str">
        <f>IF(COUNTIF(Raw_Inventory!A:A,A324)&gt;1,"Duplicate","OK")</f>
        <v>OK</v>
      </c>
      <c r="C324" t="str">
        <f>IF(Raw_Inventory!E324-Raw_Inventory!F324&lt;0,"Error","OK")</f>
        <v>OK</v>
      </c>
      <c r="D324" t="str">
        <f>IF(Raw_Inventory!D324="","Missing","OK")</f>
        <v>OK</v>
      </c>
      <c r="E324" t="str">
        <f t="shared" si="5"/>
        <v>Valid</v>
      </c>
    </row>
    <row r="325" spans="1:5" x14ac:dyDescent="0.25">
      <c r="A325" t="str">
        <f>Raw_Inventory!A325</f>
        <v>P1324</v>
      </c>
      <c r="B325" t="str">
        <f>IF(COUNTIF(Raw_Inventory!A:A,A325)&gt;1,"Duplicate","OK")</f>
        <v>OK</v>
      </c>
      <c r="C325" t="str">
        <f>IF(Raw_Inventory!E325-Raw_Inventory!F325&lt;0,"Error","OK")</f>
        <v>OK</v>
      </c>
      <c r="D325" t="str">
        <f>IF(Raw_Inventory!D325="","Missing","OK")</f>
        <v>OK</v>
      </c>
      <c r="E325" t="str">
        <f t="shared" si="5"/>
        <v>Valid</v>
      </c>
    </row>
    <row r="326" spans="1:5" x14ac:dyDescent="0.25">
      <c r="A326" t="str">
        <f>Raw_Inventory!A326</f>
        <v>P1325</v>
      </c>
      <c r="B326" t="str">
        <f>IF(COUNTIF(Raw_Inventory!A:A,A326)&gt;1,"Duplicate","OK")</f>
        <v>OK</v>
      </c>
      <c r="C326" t="str">
        <f>IF(Raw_Inventory!E326-Raw_Inventory!F326&lt;0,"Error","OK")</f>
        <v>OK</v>
      </c>
      <c r="D326" t="str">
        <f>IF(Raw_Inventory!D326="","Missing","OK")</f>
        <v>OK</v>
      </c>
      <c r="E326" t="str">
        <f t="shared" si="5"/>
        <v>Valid</v>
      </c>
    </row>
    <row r="327" spans="1:5" x14ac:dyDescent="0.25">
      <c r="A327" t="str">
        <f>Raw_Inventory!A327</f>
        <v>P1326</v>
      </c>
      <c r="B327" t="str">
        <f>IF(COUNTIF(Raw_Inventory!A:A,A327)&gt;1,"Duplicate","OK")</f>
        <v>OK</v>
      </c>
      <c r="C327" t="str">
        <f>IF(Raw_Inventory!E327-Raw_Inventory!F327&lt;0,"Error","OK")</f>
        <v>OK</v>
      </c>
      <c r="D327" t="str">
        <f>IF(Raw_Inventory!D327="","Missing","OK")</f>
        <v>OK</v>
      </c>
      <c r="E327" t="str">
        <f t="shared" si="5"/>
        <v>Valid</v>
      </c>
    </row>
    <row r="328" spans="1:5" x14ac:dyDescent="0.25">
      <c r="A328" t="str">
        <f>Raw_Inventory!A328</f>
        <v>P1327</v>
      </c>
      <c r="B328" t="str">
        <f>IF(COUNTIF(Raw_Inventory!A:A,A328)&gt;1,"Duplicate","OK")</f>
        <v>OK</v>
      </c>
      <c r="C328" t="str">
        <f>IF(Raw_Inventory!E328-Raw_Inventory!F328&lt;0,"Error","OK")</f>
        <v>OK</v>
      </c>
      <c r="D328" t="str">
        <f>IF(Raw_Inventory!D328="","Missing","OK")</f>
        <v>OK</v>
      </c>
      <c r="E328" t="str">
        <f t="shared" si="5"/>
        <v>Valid</v>
      </c>
    </row>
    <row r="329" spans="1:5" x14ac:dyDescent="0.25">
      <c r="A329" t="str">
        <f>Raw_Inventory!A329</f>
        <v>P1328</v>
      </c>
      <c r="B329" t="str">
        <f>IF(COUNTIF(Raw_Inventory!A:A,A329)&gt;1,"Duplicate","OK")</f>
        <v>OK</v>
      </c>
      <c r="C329" t="str">
        <f>IF(Raw_Inventory!E329-Raw_Inventory!F329&lt;0,"Error","OK")</f>
        <v>OK</v>
      </c>
      <c r="D329" t="str">
        <f>IF(Raw_Inventory!D329="","Missing","OK")</f>
        <v>OK</v>
      </c>
      <c r="E329" t="str">
        <f t="shared" si="5"/>
        <v>Valid</v>
      </c>
    </row>
    <row r="330" spans="1:5" x14ac:dyDescent="0.25">
      <c r="A330" t="str">
        <f>Raw_Inventory!A330</f>
        <v>P1329</v>
      </c>
      <c r="B330" t="str">
        <f>IF(COUNTIF(Raw_Inventory!A:A,A330)&gt;1,"Duplicate","OK")</f>
        <v>OK</v>
      </c>
      <c r="C330" t="str">
        <f>IF(Raw_Inventory!E330-Raw_Inventory!F330&lt;0,"Error","OK")</f>
        <v>OK</v>
      </c>
      <c r="D330" t="str">
        <f>IF(Raw_Inventory!D330="","Missing","OK")</f>
        <v>OK</v>
      </c>
      <c r="E330" t="str">
        <f t="shared" si="5"/>
        <v>Valid</v>
      </c>
    </row>
    <row r="331" spans="1:5" x14ac:dyDescent="0.25">
      <c r="A331" t="str">
        <f>Raw_Inventory!A331</f>
        <v>P1330</v>
      </c>
      <c r="B331" t="str">
        <f>IF(COUNTIF(Raw_Inventory!A:A,A331)&gt;1,"Duplicate","OK")</f>
        <v>OK</v>
      </c>
      <c r="C331" t="str">
        <f>IF(Raw_Inventory!E331-Raw_Inventory!F331&lt;0,"Error","OK")</f>
        <v>OK</v>
      </c>
      <c r="D331" t="str">
        <f>IF(Raw_Inventory!D331="","Missing","OK")</f>
        <v>OK</v>
      </c>
      <c r="E331" t="str">
        <f t="shared" si="5"/>
        <v>Valid</v>
      </c>
    </row>
    <row r="332" spans="1:5" x14ac:dyDescent="0.25">
      <c r="A332" t="str">
        <f>Raw_Inventory!A332</f>
        <v>P1331</v>
      </c>
      <c r="B332" t="str">
        <f>IF(COUNTIF(Raw_Inventory!A:A,A332)&gt;1,"Duplicate","OK")</f>
        <v>OK</v>
      </c>
      <c r="C332" t="str">
        <f>IF(Raw_Inventory!E332-Raw_Inventory!F332&lt;0,"Error","OK")</f>
        <v>OK</v>
      </c>
      <c r="D332" t="str">
        <f>IF(Raw_Inventory!D332="","Missing","OK")</f>
        <v>OK</v>
      </c>
      <c r="E332" t="str">
        <f t="shared" si="5"/>
        <v>Valid</v>
      </c>
    </row>
    <row r="333" spans="1:5" x14ac:dyDescent="0.25">
      <c r="A333" t="str">
        <f>Raw_Inventory!A333</f>
        <v>P1332</v>
      </c>
      <c r="B333" t="str">
        <f>IF(COUNTIF(Raw_Inventory!A:A,A333)&gt;1,"Duplicate","OK")</f>
        <v>OK</v>
      </c>
      <c r="C333" t="str">
        <f>IF(Raw_Inventory!E333-Raw_Inventory!F333&lt;0,"Error","OK")</f>
        <v>OK</v>
      </c>
      <c r="D333" t="str">
        <f>IF(Raw_Inventory!D333="","Missing","OK")</f>
        <v>OK</v>
      </c>
      <c r="E333" t="str">
        <f t="shared" si="5"/>
        <v>Valid</v>
      </c>
    </row>
    <row r="334" spans="1:5" x14ac:dyDescent="0.25">
      <c r="A334" t="str">
        <f>Raw_Inventory!A334</f>
        <v>P1333</v>
      </c>
      <c r="B334" t="str">
        <f>IF(COUNTIF(Raw_Inventory!A:A,A334)&gt;1,"Duplicate","OK")</f>
        <v>OK</v>
      </c>
      <c r="C334" t="str">
        <f>IF(Raw_Inventory!E334-Raw_Inventory!F334&lt;0,"Error","OK")</f>
        <v>OK</v>
      </c>
      <c r="D334" t="str">
        <f>IF(Raw_Inventory!D334="","Missing","OK")</f>
        <v>OK</v>
      </c>
      <c r="E334" t="str">
        <f t="shared" si="5"/>
        <v>Valid</v>
      </c>
    </row>
    <row r="335" spans="1:5" x14ac:dyDescent="0.25">
      <c r="A335" t="str">
        <f>Raw_Inventory!A335</f>
        <v>P1334</v>
      </c>
      <c r="B335" t="str">
        <f>IF(COUNTIF(Raw_Inventory!A:A,A335)&gt;1,"Duplicate","OK")</f>
        <v>OK</v>
      </c>
      <c r="C335" t="str">
        <f>IF(Raw_Inventory!E335-Raw_Inventory!F335&lt;0,"Error","OK")</f>
        <v>OK</v>
      </c>
      <c r="D335" t="str">
        <f>IF(Raw_Inventory!D335="","Missing","OK")</f>
        <v>OK</v>
      </c>
      <c r="E335" t="str">
        <f t="shared" si="5"/>
        <v>Valid</v>
      </c>
    </row>
    <row r="336" spans="1:5" x14ac:dyDescent="0.25">
      <c r="A336" t="str">
        <f>Raw_Inventory!A336</f>
        <v>P1335</v>
      </c>
      <c r="B336" t="str">
        <f>IF(COUNTIF(Raw_Inventory!A:A,A336)&gt;1,"Duplicate","OK")</f>
        <v>OK</v>
      </c>
      <c r="C336" t="str">
        <f>IF(Raw_Inventory!E336-Raw_Inventory!F336&lt;0,"Error","OK")</f>
        <v>Error</v>
      </c>
      <c r="D336" t="str">
        <f>IF(Raw_Inventory!D336="","Missing","OK")</f>
        <v>OK</v>
      </c>
      <c r="E336" t="str">
        <f t="shared" si="5"/>
        <v>Check Record</v>
      </c>
    </row>
    <row r="337" spans="1:5" x14ac:dyDescent="0.25">
      <c r="A337" t="str">
        <f>Raw_Inventory!A337</f>
        <v>P1336</v>
      </c>
      <c r="B337" t="str">
        <f>IF(COUNTIF(Raw_Inventory!A:A,A337)&gt;1,"Duplicate","OK")</f>
        <v>OK</v>
      </c>
      <c r="C337" t="str">
        <f>IF(Raw_Inventory!E337-Raw_Inventory!F337&lt;0,"Error","OK")</f>
        <v>Error</v>
      </c>
      <c r="D337" t="str">
        <f>IF(Raw_Inventory!D337="","Missing","OK")</f>
        <v>OK</v>
      </c>
      <c r="E337" t="str">
        <f t="shared" si="5"/>
        <v>Check Record</v>
      </c>
    </row>
    <row r="338" spans="1:5" x14ac:dyDescent="0.25">
      <c r="A338" t="str">
        <f>Raw_Inventory!A338</f>
        <v>P1337</v>
      </c>
      <c r="B338" t="str">
        <f>IF(COUNTIF(Raw_Inventory!A:A,A338)&gt;1,"Duplicate","OK")</f>
        <v>OK</v>
      </c>
      <c r="C338" t="str">
        <f>IF(Raw_Inventory!E338-Raw_Inventory!F338&lt;0,"Error","OK")</f>
        <v>OK</v>
      </c>
      <c r="D338" t="str">
        <f>IF(Raw_Inventory!D338="","Missing","OK")</f>
        <v>OK</v>
      </c>
      <c r="E338" t="str">
        <f t="shared" si="5"/>
        <v>Valid</v>
      </c>
    </row>
    <row r="339" spans="1:5" x14ac:dyDescent="0.25">
      <c r="A339" t="str">
        <f>Raw_Inventory!A339</f>
        <v>P1338</v>
      </c>
      <c r="B339" t="str">
        <f>IF(COUNTIF(Raw_Inventory!A:A,A339)&gt;1,"Duplicate","OK")</f>
        <v>OK</v>
      </c>
      <c r="C339" t="str">
        <f>IF(Raw_Inventory!E339-Raw_Inventory!F339&lt;0,"Error","OK")</f>
        <v>Error</v>
      </c>
      <c r="D339" t="str">
        <f>IF(Raw_Inventory!D339="","Missing","OK")</f>
        <v>OK</v>
      </c>
      <c r="E339" t="str">
        <f t="shared" si="5"/>
        <v>Check Record</v>
      </c>
    </row>
    <row r="340" spans="1:5" x14ac:dyDescent="0.25">
      <c r="A340" t="str">
        <f>Raw_Inventory!A340</f>
        <v>P1339</v>
      </c>
      <c r="B340" t="str">
        <f>IF(COUNTIF(Raw_Inventory!A:A,A340)&gt;1,"Duplicate","OK")</f>
        <v>OK</v>
      </c>
      <c r="C340" t="str">
        <f>IF(Raw_Inventory!E340-Raw_Inventory!F340&lt;0,"Error","OK")</f>
        <v>OK</v>
      </c>
      <c r="D340" t="str">
        <f>IF(Raw_Inventory!D340="","Missing","OK")</f>
        <v>OK</v>
      </c>
      <c r="E340" t="str">
        <f t="shared" si="5"/>
        <v>Valid</v>
      </c>
    </row>
    <row r="341" spans="1:5" x14ac:dyDescent="0.25">
      <c r="A341" t="str">
        <f>Raw_Inventory!A341</f>
        <v>P1340</v>
      </c>
      <c r="B341" t="str">
        <f>IF(COUNTIF(Raw_Inventory!A:A,A341)&gt;1,"Duplicate","OK")</f>
        <v>OK</v>
      </c>
      <c r="C341" t="str">
        <f>IF(Raw_Inventory!E341-Raw_Inventory!F341&lt;0,"Error","OK")</f>
        <v>OK</v>
      </c>
      <c r="D341" t="str">
        <f>IF(Raw_Inventory!D341="","Missing","OK")</f>
        <v>OK</v>
      </c>
      <c r="E341" t="str">
        <f t="shared" si="5"/>
        <v>Valid</v>
      </c>
    </row>
    <row r="342" spans="1:5" x14ac:dyDescent="0.25">
      <c r="A342" t="str">
        <f>Raw_Inventory!A342</f>
        <v>P1341</v>
      </c>
      <c r="B342" t="str">
        <f>IF(COUNTIF(Raw_Inventory!A:A,A342)&gt;1,"Duplicate","OK")</f>
        <v>OK</v>
      </c>
      <c r="C342" t="str">
        <f>IF(Raw_Inventory!E342-Raw_Inventory!F342&lt;0,"Error","OK")</f>
        <v>Error</v>
      </c>
      <c r="D342" t="str">
        <f>IF(Raw_Inventory!D342="","Missing","OK")</f>
        <v>OK</v>
      </c>
      <c r="E342" t="str">
        <f t="shared" si="5"/>
        <v>Check Record</v>
      </c>
    </row>
    <row r="343" spans="1:5" x14ac:dyDescent="0.25">
      <c r="A343" t="str">
        <f>Raw_Inventory!A343</f>
        <v>P1342</v>
      </c>
      <c r="B343" t="str">
        <f>IF(COUNTIF(Raw_Inventory!A:A,A343)&gt;1,"Duplicate","OK")</f>
        <v>OK</v>
      </c>
      <c r="C343" t="str">
        <f>IF(Raw_Inventory!E343-Raw_Inventory!F343&lt;0,"Error","OK")</f>
        <v>Error</v>
      </c>
      <c r="D343" t="str">
        <f>IF(Raw_Inventory!D343="","Missing","OK")</f>
        <v>OK</v>
      </c>
      <c r="E343" t="str">
        <f t="shared" si="5"/>
        <v>Check Record</v>
      </c>
    </row>
    <row r="344" spans="1:5" x14ac:dyDescent="0.25">
      <c r="A344" t="str">
        <f>Raw_Inventory!A344</f>
        <v>P1343</v>
      </c>
      <c r="B344" t="str">
        <f>IF(COUNTIF(Raw_Inventory!A:A,A344)&gt;1,"Duplicate","OK")</f>
        <v>OK</v>
      </c>
      <c r="C344" t="str">
        <f>IF(Raw_Inventory!E344-Raw_Inventory!F344&lt;0,"Error","OK")</f>
        <v>Error</v>
      </c>
      <c r="D344" t="str">
        <f>IF(Raw_Inventory!D344="","Missing","OK")</f>
        <v>OK</v>
      </c>
      <c r="E344" t="str">
        <f t="shared" si="5"/>
        <v>Check Record</v>
      </c>
    </row>
    <row r="345" spans="1:5" x14ac:dyDescent="0.25">
      <c r="A345" t="str">
        <f>Raw_Inventory!A345</f>
        <v>P1344</v>
      </c>
      <c r="B345" t="str">
        <f>IF(COUNTIF(Raw_Inventory!A:A,A345)&gt;1,"Duplicate","OK")</f>
        <v>OK</v>
      </c>
      <c r="C345" t="str">
        <f>IF(Raw_Inventory!E345-Raw_Inventory!F345&lt;0,"Error","OK")</f>
        <v>OK</v>
      </c>
      <c r="D345" t="str">
        <f>IF(Raw_Inventory!D345="","Missing","OK")</f>
        <v>OK</v>
      </c>
      <c r="E345" t="str">
        <f t="shared" si="5"/>
        <v>Valid</v>
      </c>
    </row>
    <row r="346" spans="1:5" x14ac:dyDescent="0.25">
      <c r="A346" t="str">
        <f>Raw_Inventory!A346</f>
        <v>P1345</v>
      </c>
      <c r="B346" t="str">
        <f>IF(COUNTIF(Raw_Inventory!A:A,A346)&gt;1,"Duplicate","OK")</f>
        <v>OK</v>
      </c>
      <c r="C346" t="str">
        <f>IF(Raw_Inventory!E346-Raw_Inventory!F346&lt;0,"Error","OK")</f>
        <v>OK</v>
      </c>
      <c r="D346" t="str">
        <f>IF(Raw_Inventory!D346="","Missing","OK")</f>
        <v>OK</v>
      </c>
      <c r="E346" t="str">
        <f t="shared" si="5"/>
        <v>Valid</v>
      </c>
    </row>
    <row r="347" spans="1:5" x14ac:dyDescent="0.25">
      <c r="A347" t="str">
        <f>Raw_Inventory!A347</f>
        <v>P1346</v>
      </c>
      <c r="B347" t="str">
        <f>IF(COUNTIF(Raw_Inventory!A:A,A347)&gt;1,"Duplicate","OK")</f>
        <v>OK</v>
      </c>
      <c r="C347" t="str">
        <f>IF(Raw_Inventory!E347-Raw_Inventory!F347&lt;0,"Error","OK")</f>
        <v>Error</v>
      </c>
      <c r="D347" t="str">
        <f>IF(Raw_Inventory!D347="","Missing","OK")</f>
        <v>OK</v>
      </c>
      <c r="E347" t="str">
        <f t="shared" si="5"/>
        <v>Check Record</v>
      </c>
    </row>
    <row r="348" spans="1:5" x14ac:dyDescent="0.25">
      <c r="A348" t="str">
        <f>Raw_Inventory!A348</f>
        <v>P1347</v>
      </c>
      <c r="B348" t="str">
        <f>IF(COUNTIF(Raw_Inventory!A:A,A348)&gt;1,"Duplicate","OK")</f>
        <v>OK</v>
      </c>
      <c r="C348" t="str">
        <f>IF(Raw_Inventory!E348-Raw_Inventory!F348&lt;0,"Error","OK")</f>
        <v>OK</v>
      </c>
      <c r="D348" t="str">
        <f>IF(Raw_Inventory!D348="","Missing","OK")</f>
        <v>OK</v>
      </c>
      <c r="E348" t="str">
        <f t="shared" si="5"/>
        <v>Valid</v>
      </c>
    </row>
    <row r="349" spans="1:5" x14ac:dyDescent="0.25">
      <c r="A349" t="str">
        <f>Raw_Inventory!A349</f>
        <v>P1348</v>
      </c>
      <c r="B349" t="str">
        <f>IF(COUNTIF(Raw_Inventory!A:A,A349)&gt;1,"Duplicate","OK")</f>
        <v>OK</v>
      </c>
      <c r="C349" t="str">
        <f>IF(Raw_Inventory!E349-Raw_Inventory!F349&lt;0,"Error","OK")</f>
        <v>Error</v>
      </c>
      <c r="D349" t="str">
        <f>IF(Raw_Inventory!D349="","Missing","OK")</f>
        <v>OK</v>
      </c>
      <c r="E349" t="str">
        <f t="shared" si="5"/>
        <v>Check Record</v>
      </c>
    </row>
    <row r="350" spans="1:5" x14ac:dyDescent="0.25">
      <c r="A350" t="str">
        <f>Raw_Inventory!A350</f>
        <v>P1349</v>
      </c>
      <c r="B350" t="str">
        <f>IF(COUNTIF(Raw_Inventory!A:A,A350)&gt;1,"Duplicate","OK")</f>
        <v>OK</v>
      </c>
      <c r="C350" t="str">
        <f>IF(Raw_Inventory!E350-Raw_Inventory!F350&lt;0,"Error","OK")</f>
        <v>OK</v>
      </c>
      <c r="D350" t="str">
        <f>IF(Raw_Inventory!D350="","Missing","OK")</f>
        <v>OK</v>
      </c>
      <c r="E350" t="str">
        <f t="shared" si="5"/>
        <v>Valid</v>
      </c>
    </row>
    <row r="351" spans="1:5" x14ac:dyDescent="0.25">
      <c r="A351" t="str">
        <f>Raw_Inventory!A351</f>
        <v>P1350</v>
      </c>
      <c r="B351" t="str">
        <f>IF(COUNTIF(Raw_Inventory!A:A,A351)&gt;1,"Duplicate","OK")</f>
        <v>OK</v>
      </c>
      <c r="C351" t="str">
        <f>IF(Raw_Inventory!E351-Raw_Inventory!F351&lt;0,"Error","OK")</f>
        <v>Error</v>
      </c>
      <c r="D351" t="str">
        <f>IF(Raw_Inventory!D351="","Missing","OK")</f>
        <v>OK</v>
      </c>
      <c r="E351" t="str">
        <f t="shared" si="5"/>
        <v>Check Record</v>
      </c>
    </row>
    <row r="352" spans="1:5" x14ac:dyDescent="0.25">
      <c r="A352" t="str">
        <f>Raw_Inventory!A352</f>
        <v>P1351</v>
      </c>
      <c r="B352" t="str">
        <f>IF(COUNTIF(Raw_Inventory!A:A,A352)&gt;1,"Duplicate","OK")</f>
        <v>OK</v>
      </c>
      <c r="C352" t="str">
        <f>IF(Raw_Inventory!E352-Raw_Inventory!F352&lt;0,"Error","OK")</f>
        <v>OK</v>
      </c>
      <c r="D352" t="str">
        <f>IF(Raw_Inventory!D352="","Missing","OK")</f>
        <v>OK</v>
      </c>
      <c r="E352" t="str">
        <f t="shared" si="5"/>
        <v>Valid</v>
      </c>
    </row>
    <row r="353" spans="1:5" x14ac:dyDescent="0.25">
      <c r="A353" t="str">
        <f>Raw_Inventory!A353</f>
        <v>P1352</v>
      </c>
      <c r="B353" t="str">
        <f>IF(COUNTIF(Raw_Inventory!A:A,A353)&gt;1,"Duplicate","OK")</f>
        <v>OK</v>
      </c>
      <c r="C353" t="str">
        <f>IF(Raw_Inventory!E353-Raw_Inventory!F353&lt;0,"Error","OK")</f>
        <v>OK</v>
      </c>
      <c r="D353" t="str">
        <f>IF(Raw_Inventory!D353="","Missing","OK")</f>
        <v>OK</v>
      </c>
      <c r="E353" t="str">
        <f t="shared" si="5"/>
        <v>Valid</v>
      </c>
    </row>
    <row r="354" spans="1:5" x14ac:dyDescent="0.25">
      <c r="A354" t="str">
        <f>Raw_Inventory!A354</f>
        <v>P1353</v>
      </c>
      <c r="B354" t="str">
        <f>IF(COUNTIF(Raw_Inventory!A:A,A354)&gt;1,"Duplicate","OK")</f>
        <v>OK</v>
      </c>
      <c r="C354" t="str">
        <f>IF(Raw_Inventory!E354-Raw_Inventory!F354&lt;0,"Error","OK")</f>
        <v>Error</v>
      </c>
      <c r="D354" t="str">
        <f>IF(Raw_Inventory!D354="","Missing","OK")</f>
        <v>OK</v>
      </c>
      <c r="E354" t="str">
        <f t="shared" si="5"/>
        <v>Check Record</v>
      </c>
    </row>
    <row r="355" spans="1:5" x14ac:dyDescent="0.25">
      <c r="A355" t="str">
        <f>Raw_Inventory!A355</f>
        <v>P1354</v>
      </c>
      <c r="B355" t="str">
        <f>IF(COUNTIF(Raw_Inventory!A:A,A355)&gt;1,"Duplicate","OK")</f>
        <v>OK</v>
      </c>
      <c r="C355" t="str">
        <f>IF(Raw_Inventory!E355-Raw_Inventory!F355&lt;0,"Error","OK")</f>
        <v>Error</v>
      </c>
      <c r="D355" t="str">
        <f>IF(Raw_Inventory!D355="","Missing","OK")</f>
        <v>OK</v>
      </c>
      <c r="E355" t="str">
        <f t="shared" si="5"/>
        <v>Check Record</v>
      </c>
    </row>
    <row r="356" spans="1:5" x14ac:dyDescent="0.25">
      <c r="A356" t="str">
        <f>Raw_Inventory!A356</f>
        <v>P1355</v>
      </c>
      <c r="B356" t="str">
        <f>IF(COUNTIF(Raw_Inventory!A:A,A356)&gt;1,"Duplicate","OK")</f>
        <v>OK</v>
      </c>
      <c r="C356" t="str">
        <f>IF(Raw_Inventory!E356-Raw_Inventory!F356&lt;0,"Error","OK")</f>
        <v>OK</v>
      </c>
      <c r="D356" t="str">
        <f>IF(Raw_Inventory!D356="","Missing","OK")</f>
        <v>OK</v>
      </c>
      <c r="E356" t="str">
        <f t="shared" si="5"/>
        <v>Valid</v>
      </c>
    </row>
    <row r="357" spans="1:5" x14ac:dyDescent="0.25">
      <c r="A357" t="str">
        <f>Raw_Inventory!A357</f>
        <v>P1356</v>
      </c>
      <c r="B357" t="str">
        <f>IF(COUNTIF(Raw_Inventory!A:A,A357)&gt;1,"Duplicate","OK")</f>
        <v>OK</v>
      </c>
      <c r="C357" t="str">
        <f>IF(Raw_Inventory!E357-Raw_Inventory!F357&lt;0,"Error","OK")</f>
        <v>OK</v>
      </c>
      <c r="D357" t="str">
        <f>IF(Raw_Inventory!D357="","Missing","OK")</f>
        <v>OK</v>
      </c>
      <c r="E357" t="str">
        <f t="shared" si="5"/>
        <v>Valid</v>
      </c>
    </row>
    <row r="358" spans="1:5" x14ac:dyDescent="0.25">
      <c r="A358" t="str">
        <f>Raw_Inventory!A358</f>
        <v>P1357</v>
      </c>
      <c r="B358" t="str">
        <f>IF(COUNTIF(Raw_Inventory!A:A,A358)&gt;1,"Duplicate","OK")</f>
        <v>OK</v>
      </c>
      <c r="C358" t="str">
        <f>IF(Raw_Inventory!E358-Raw_Inventory!F358&lt;0,"Error","OK")</f>
        <v>OK</v>
      </c>
      <c r="D358" t="str">
        <f>IF(Raw_Inventory!D358="","Missing","OK")</f>
        <v>OK</v>
      </c>
      <c r="E358" t="str">
        <f t="shared" si="5"/>
        <v>Valid</v>
      </c>
    </row>
    <row r="359" spans="1:5" x14ac:dyDescent="0.25">
      <c r="A359" t="str">
        <f>Raw_Inventory!A359</f>
        <v>P1358</v>
      </c>
      <c r="B359" t="str">
        <f>IF(COUNTIF(Raw_Inventory!A:A,A359)&gt;1,"Duplicate","OK")</f>
        <v>OK</v>
      </c>
      <c r="C359" t="str">
        <f>IF(Raw_Inventory!E359-Raw_Inventory!F359&lt;0,"Error","OK")</f>
        <v>OK</v>
      </c>
      <c r="D359" t="str">
        <f>IF(Raw_Inventory!D359="","Missing","OK")</f>
        <v>OK</v>
      </c>
      <c r="E359" t="str">
        <f t="shared" si="5"/>
        <v>Valid</v>
      </c>
    </row>
    <row r="360" spans="1:5" x14ac:dyDescent="0.25">
      <c r="A360" t="str">
        <f>Raw_Inventory!A360</f>
        <v>P1359</v>
      </c>
      <c r="B360" t="str">
        <f>IF(COUNTIF(Raw_Inventory!A:A,A360)&gt;1,"Duplicate","OK")</f>
        <v>OK</v>
      </c>
      <c r="C360" t="str">
        <f>IF(Raw_Inventory!E360-Raw_Inventory!F360&lt;0,"Error","OK")</f>
        <v>Error</v>
      </c>
      <c r="D360" t="str">
        <f>IF(Raw_Inventory!D360="","Missing","OK")</f>
        <v>OK</v>
      </c>
      <c r="E360" t="str">
        <f t="shared" si="5"/>
        <v>Check Record</v>
      </c>
    </row>
    <row r="361" spans="1:5" x14ac:dyDescent="0.25">
      <c r="A361" t="str">
        <f>Raw_Inventory!A361</f>
        <v>P1360</v>
      </c>
      <c r="B361" t="str">
        <f>IF(COUNTIF(Raw_Inventory!A:A,A361)&gt;1,"Duplicate","OK")</f>
        <v>OK</v>
      </c>
      <c r="C361" t="str">
        <f>IF(Raw_Inventory!E361-Raw_Inventory!F361&lt;0,"Error","OK")</f>
        <v>OK</v>
      </c>
      <c r="D361" t="str">
        <f>IF(Raw_Inventory!D361="","Missing","OK")</f>
        <v>OK</v>
      </c>
      <c r="E361" t="str">
        <f t="shared" si="5"/>
        <v>Valid</v>
      </c>
    </row>
    <row r="362" spans="1:5" x14ac:dyDescent="0.25">
      <c r="A362" t="str">
        <f>Raw_Inventory!A362</f>
        <v>P1361</v>
      </c>
      <c r="B362" t="str">
        <f>IF(COUNTIF(Raw_Inventory!A:A,A362)&gt;1,"Duplicate","OK")</f>
        <v>OK</v>
      </c>
      <c r="C362" t="str">
        <f>IF(Raw_Inventory!E362-Raw_Inventory!F362&lt;0,"Error","OK")</f>
        <v>OK</v>
      </c>
      <c r="D362" t="str">
        <f>IF(Raw_Inventory!D362="","Missing","OK")</f>
        <v>OK</v>
      </c>
      <c r="E362" t="str">
        <f t="shared" si="5"/>
        <v>Valid</v>
      </c>
    </row>
    <row r="363" spans="1:5" x14ac:dyDescent="0.25">
      <c r="A363" t="str">
        <f>Raw_Inventory!A363</f>
        <v>P1362</v>
      </c>
      <c r="B363" t="str">
        <f>IF(COUNTIF(Raw_Inventory!A:A,A363)&gt;1,"Duplicate","OK")</f>
        <v>OK</v>
      </c>
      <c r="C363" t="str">
        <f>IF(Raw_Inventory!E363-Raw_Inventory!F363&lt;0,"Error","OK")</f>
        <v>Error</v>
      </c>
      <c r="D363" t="str">
        <f>IF(Raw_Inventory!D363="","Missing","OK")</f>
        <v>OK</v>
      </c>
      <c r="E363" t="str">
        <f t="shared" si="5"/>
        <v>Check Record</v>
      </c>
    </row>
    <row r="364" spans="1:5" x14ac:dyDescent="0.25">
      <c r="A364" t="str">
        <f>Raw_Inventory!A364</f>
        <v>P1363</v>
      </c>
      <c r="B364" t="str">
        <f>IF(COUNTIF(Raw_Inventory!A:A,A364)&gt;1,"Duplicate","OK")</f>
        <v>OK</v>
      </c>
      <c r="C364" t="str">
        <f>IF(Raw_Inventory!E364-Raw_Inventory!F364&lt;0,"Error","OK")</f>
        <v>OK</v>
      </c>
      <c r="D364" t="str">
        <f>IF(Raw_Inventory!D364="","Missing","OK")</f>
        <v>OK</v>
      </c>
      <c r="E364" t="str">
        <f t="shared" si="5"/>
        <v>Valid</v>
      </c>
    </row>
    <row r="365" spans="1:5" x14ac:dyDescent="0.25">
      <c r="A365" t="str">
        <f>Raw_Inventory!A365</f>
        <v>P1364</v>
      </c>
      <c r="B365" t="str">
        <f>IF(COUNTIF(Raw_Inventory!A:A,A365)&gt;1,"Duplicate","OK")</f>
        <v>OK</v>
      </c>
      <c r="C365" t="str">
        <f>IF(Raw_Inventory!E365-Raw_Inventory!F365&lt;0,"Error","OK")</f>
        <v>Error</v>
      </c>
      <c r="D365" t="str">
        <f>IF(Raw_Inventory!D365="","Missing","OK")</f>
        <v>OK</v>
      </c>
      <c r="E365" t="str">
        <f t="shared" si="5"/>
        <v>Check Record</v>
      </c>
    </row>
    <row r="366" spans="1:5" x14ac:dyDescent="0.25">
      <c r="A366" t="str">
        <f>Raw_Inventory!A366</f>
        <v>P1365</v>
      </c>
      <c r="B366" t="str">
        <f>IF(COUNTIF(Raw_Inventory!A:A,A366)&gt;1,"Duplicate","OK")</f>
        <v>OK</v>
      </c>
      <c r="C366" t="str">
        <f>IF(Raw_Inventory!E366-Raw_Inventory!F366&lt;0,"Error","OK")</f>
        <v>OK</v>
      </c>
      <c r="D366" t="str">
        <f>IF(Raw_Inventory!D366="","Missing","OK")</f>
        <v>OK</v>
      </c>
      <c r="E366" t="str">
        <f t="shared" si="5"/>
        <v>Valid</v>
      </c>
    </row>
    <row r="367" spans="1:5" x14ac:dyDescent="0.25">
      <c r="A367" t="str">
        <f>Raw_Inventory!A367</f>
        <v>P1366</v>
      </c>
      <c r="B367" t="str">
        <f>IF(COUNTIF(Raw_Inventory!A:A,A367)&gt;1,"Duplicate","OK")</f>
        <v>OK</v>
      </c>
      <c r="C367" t="str">
        <f>IF(Raw_Inventory!E367-Raw_Inventory!F367&lt;0,"Error","OK")</f>
        <v>OK</v>
      </c>
      <c r="D367" t="str">
        <f>IF(Raw_Inventory!D367="","Missing","OK")</f>
        <v>OK</v>
      </c>
      <c r="E367" t="str">
        <f t="shared" si="5"/>
        <v>Valid</v>
      </c>
    </row>
    <row r="368" spans="1:5" x14ac:dyDescent="0.25">
      <c r="A368" t="str">
        <f>Raw_Inventory!A368</f>
        <v>P1367</v>
      </c>
      <c r="B368" t="str">
        <f>IF(COUNTIF(Raw_Inventory!A:A,A368)&gt;1,"Duplicate","OK")</f>
        <v>OK</v>
      </c>
      <c r="C368" t="str">
        <f>IF(Raw_Inventory!E368-Raw_Inventory!F368&lt;0,"Error","OK")</f>
        <v>Error</v>
      </c>
      <c r="D368" t="str">
        <f>IF(Raw_Inventory!D368="","Missing","OK")</f>
        <v>OK</v>
      </c>
      <c r="E368" t="str">
        <f t="shared" si="5"/>
        <v>Check Record</v>
      </c>
    </row>
    <row r="369" spans="1:5" x14ac:dyDescent="0.25">
      <c r="A369" t="str">
        <f>Raw_Inventory!A369</f>
        <v>P1368</v>
      </c>
      <c r="B369" t="str">
        <f>IF(COUNTIF(Raw_Inventory!A:A,A369)&gt;1,"Duplicate","OK")</f>
        <v>OK</v>
      </c>
      <c r="C369" t="str">
        <f>IF(Raw_Inventory!E369-Raw_Inventory!F369&lt;0,"Error","OK")</f>
        <v>OK</v>
      </c>
      <c r="D369" t="str">
        <f>IF(Raw_Inventory!D369="","Missing","OK")</f>
        <v>OK</v>
      </c>
      <c r="E369" t="str">
        <f t="shared" si="5"/>
        <v>Valid</v>
      </c>
    </row>
    <row r="370" spans="1:5" x14ac:dyDescent="0.25">
      <c r="A370" t="str">
        <f>Raw_Inventory!A370</f>
        <v>P1369</v>
      </c>
      <c r="B370" t="str">
        <f>IF(COUNTIF(Raw_Inventory!A:A,A370)&gt;1,"Duplicate","OK")</f>
        <v>OK</v>
      </c>
      <c r="C370" t="str">
        <f>IF(Raw_Inventory!E370-Raw_Inventory!F370&lt;0,"Error","OK")</f>
        <v>OK</v>
      </c>
      <c r="D370" t="str">
        <f>IF(Raw_Inventory!D370="","Missing","OK")</f>
        <v>OK</v>
      </c>
      <c r="E370" t="str">
        <f t="shared" si="5"/>
        <v>Valid</v>
      </c>
    </row>
    <row r="371" spans="1:5" x14ac:dyDescent="0.25">
      <c r="A371" t="str">
        <f>Raw_Inventory!A371</f>
        <v>P1370</v>
      </c>
      <c r="B371" t="str">
        <f>IF(COUNTIF(Raw_Inventory!A:A,A371)&gt;1,"Duplicate","OK")</f>
        <v>OK</v>
      </c>
      <c r="C371" t="str">
        <f>IF(Raw_Inventory!E371-Raw_Inventory!F371&lt;0,"Error","OK")</f>
        <v>OK</v>
      </c>
      <c r="D371" t="str">
        <f>IF(Raw_Inventory!D371="","Missing","OK")</f>
        <v>OK</v>
      </c>
      <c r="E371" t="str">
        <f t="shared" si="5"/>
        <v>Valid</v>
      </c>
    </row>
    <row r="372" spans="1:5" x14ac:dyDescent="0.25">
      <c r="A372" t="str">
        <f>Raw_Inventory!A372</f>
        <v>P1371</v>
      </c>
      <c r="B372" t="str">
        <f>IF(COUNTIF(Raw_Inventory!A:A,A372)&gt;1,"Duplicate","OK")</f>
        <v>OK</v>
      </c>
      <c r="C372" t="str">
        <f>IF(Raw_Inventory!E372-Raw_Inventory!F372&lt;0,"Error","OK")</f>
        <v>OK</v>
      </c>
      <c r="D372" t="str">
        <f>IF(Raw_Inventory!D372="","Missing","OK")</f>
        <v>OK</v>
      </c>
      <c r="E372" t="str">
        <f t="shared" si="5"/>
        <v>Valid</v>
      </c>
    </row>
    <row r="373" spans="1:5" x14ac:dyDescent="0.25">
      <c r="A373" t="str">
        <f>Raw_Inventory!A373</f>
        <v>P1372</v>
      </c>
      <c r="B373" t="str">
        <f>IF(COUNTIF(Raw_Inventory!A:A,A373)&gt;1,"Duplicate","OK")</f>
        <v>OK</v>
      </c>
      <c r="C373" t="str">
        <f>IF(Raw_Inventory!E373-Raw_Inventory!F373&lt;0,"Error","OK")</f>
        <v>Error</v>
      </c>
      <c r="D373" t="str">
        <f>IF(Raw_Inventory!D373="","Missing","OK")</f>
        <v>OK</v>
      </c>
      <c r="E373" t="str">
        <f t="shared" si="5"/>
        <v>Check Record</v>
      </c>
    </row>
    <row r="374" spans="1:5" x14ac:dyDescent="0.25">
      <c r="A374" t="str">
        <f>Raw_Inventory!A374</f>
        <v>P1373</v>
      </c>
      <c r="B374" t="str">
        <f>IF(COUNTIF(Raw_Inventory!A:A,A374)&gt;1,"Duplicate","OK")</f>
        <v>OK</v>
      </c>
      <c r="C374" t="str">
        <f>IF(Raw_Inventory!E374-Raw_Inventory!F374&lt;0,"Error","OK")</f>
        <v>Error</v>
      </c>
      <c r="D374" t="str">
        <f>IF(Raw_Inventory!D374="","Missing","OK")</f>
        <v>OK</v>
      </c>
      <c r="E374" t="str">
        <f t="shared" si="5"/>
        <v>Check Record</v>
      </c>
    </row>
    <row r="375" spans="1:5" x14ac:dyDescent="0.25">
      <c r="A375" t="str">
        <f>Raw_Inventory!A375</f>
        <v>P1374</v>
      </c>
      <c r="B375" t="str">
        <f>IF(COUNTIF(Raw_Inventory!A:A,A375)&gt;1,"Duplicate","OK")</f>
        <v>OK</v>
      </c>
      <c r="C375" t="str">
        <f>IF(Raw_Inventory!E375-Raw_Inventory!F375&lt;0,"Error","OK")</f>
        <v>OK</v>
      </c>
      <c r="D375" t="str">
        <f>IF(Raw_Inventory!D375="","Missing","OK")</f>
        <v>OK</v>
      </c>
      <c r="E375" t="str">
        <f t="shared" si="5"/>
        <v>Valid</v>
      </c>
    </row>
    <row r="376" spans="1:5" x14ac:dyDescent="0.25">
      <c r="A376" t="str">
        <f>Raw_Inventory!A376</f>
        <v>P1375</v>
      </c>
      <c r="B376" t="str">
        <f>IF(COUNTIF(Raw_Inventory!A:A,A376)&gt;1,"Duplicate","OK")</f>
        <v>OK</v>
      </c>
      <c r="C376" t="str">
        <f>IF(Raw_Inventory!E376-Raw_Inventory!F376&lt;0,"Error","OK")</f>
        <v>OK</v>
      </c>
      <c r="D376" t="str">
        <f>IF(Raw_Inventory!D376="","Missing","OK")</f>
        <v>OK</v>
      </c>
      <c r="E376" t="str">
        <f t="shared" si="5"/>
        <v>Valid</v>
      </c>
    </row>
    <row r="377" spans="1:5" x14ac:dyDescent="0.25">
      <c r="A377" t="str">
        <f>Raw_Inventory!A377</f>
        <v>P1376</v>
      </c>
      <c r="B377" t="str">
        <f>IF(COUNTIF(Raw_Inventory!A:A,A377)&gt;1,"Duplicate","OK")</f>
        <v>OK</v>
      </c>
      <c r="C377" t="str">
        <f>IF(Raw_Inventory!E377-Raw_Inventory!F377&lt;0,"Error","OK")</f>
        <v>OK</v>
      </c>
      <c r="D377" t="str">
        <f>IF(Raw_Inventory!D377="","Missing","OK")</f>
        <v>OK</v>
      </c>
      <c r="E377" t="str">
        <f t="shared" si="5"/>
        <v>Valid</v>
      </c>
    </row>
    <row r="378" spans="1:5" x14ac:dyDescent="0.25">
      <c r="A378" t="str">
        <f>Raw_Inventory!A378</f>
        <v>P1377</v>
      </c>
      <c r="B378" t="str">
        <f>IF(COUNTIF(Raw_Inventory!A:A,A378)&gt;1,"Duplicate","OK")</f>
        <v>OK</v>
      </c>
      <c r="C378" t="str">
        <f>IF(Raw_Inventory!E378-Raw_Inventory!F378&lt;0,"Error","OK")</f>
        <v>OK</v>
      </c>
      <c r="D378" t="str">
        <f>IF(Raw_Inventory!D378="","Missing","OK")</f>
        <v>OK</v>
      </c>
      <c r="E378" t="str">
        <f t="shared" si="5"/>
        <v>Valid</v>
      </c>
    </row>
    <row r="379" spans="1:5" x14ac:dyDescent="0.25">
      <c r="A379" t="str">
        <f>Raw_Inventory!A379</f>
        <v>P1378</v>
      </c>
      <c r="B379" t="str">
        <f>IF(COUNTIF(Raw_Inventory!A:A,A379)&gt;1,"Duplicate","OK")</f>
        <v>OK</v>
      </c>
      <c r="C379" t="str">
        <f>IF(Raw_Inventory!E379-Raw_Inventory!F379&lt;0,"Error","OK")</f>
        <v>Error</v>
      </c>
      <c r="D379" t="str">
        <f>IF(Raw_Inventory!D379="","Missing","OK")</f>
        <v>OK</v>
      </c>
      <c r="E379" t="str">
        <f t="shared" si="5"/>
        <v>Check Record</v>
      </c>
    </row>
    <row r="380" spans="1:5" x14ac:dyDescent="0.25">
      <c r="A380" t="str">
        <f>Raw_Inventory!A380</f>
        <v>P1379</v>
      </c>
      <c r="B380" t="str">
        <f>IF(COUNTIF(Raw_Inventory!A:A,A380)&gt;1,"Duplicate","OK")</f>
        <v>OK</v>
      </c>
      <c r="C380" t="str">
        <f>IF(Raw_Inventory!E380-Raw_Inventory!F380&lt;0,"Error","OK")</f>
        <v>OK</v>
      </c>
      <c r="D380" t="str">
        <f>IF(Raw_Inventory!D380="","Missing","OK")</f>
        <v>OK</v>
      </c>
      <c r="E380" t="str">
        <f t="shared" si="5"/>
        <v>Valid</v>
      </c>
    </row>
    <row r="381" spans="1:5" x14ac:dyDescent="0.25">
      <c r="A381" t="str">
        <f>Raw_Inventory!A381</f>
        <v>P1380</v>
      </c>
      <c r="B381" t="str">
        <f>IF(COUNTIF(Raw_Inventory!A:A,A381)&gt;1,"Duplicate","OK")</f>
        <v>OK</v>
      </c>
      <c r="C381" t="str">
        <f>IF(Raw_Inventory!E381-Raw_Inventory!F381&lt;0,"Error","OK")</f>
        <v>Error</v>
      </c>
      <c r="D381" t="str">
        <f>IF(Raw_Inventory!D381="","Missing","OK")</f>
        <v>OK</v>
      </c>
      <c r="E381" t="str">
        <f t="shared" si="5"/>
        <v>Check Record</v>
      </c>
    </row>
    <row r="382" spans="1:5" x14ac:dyDescent="0.25">
      <c r="A382" t="str">
        <f>Raw_Inventory!A382</f>
        <v>P1381</v>
      </c>
      <c r="B382" t="str">
        <f>IF(COUNTIF(Raw_Inventory!A:A,A382)&gt;1,"Duplicate","OK")</f>
        <v>OK</v>
      </c>
      <c r="C382" t="str">
        <f>IF(Raw_Inventory!E382-Raw_Inventory!F382&lt;0,"Error","OK")</f>
        <v>OK</v>
      </c>
      <c r="D382" t="str">
        <f>IF(Raw_Inventory!D382="","Missing","OK")</f>
        <v>OK</v>
      </c>
      <c r="E382" t="str">
        <f t="shared" si="5"/>
        <v>Valid</v>
      </c>
    </row>
    <row r="383" spans="1:5" x14ac:dyDescent="0.25">
      <c r="A383" t="str">
        <f>Raw_Inventory!A383</f>
        <v>P1382</v>
      </c>
      <c r="B383" t="str">
        <f>IF(COUNTIF(Raw_Inventory!A:A,A383)&gt;1,"Duplicate","OK")</f>
        <v>OK</v>
      </c>
      <c r="C383" t="str">
        <f>IF(Raw_Inventory!E383-Raw_Inventory!F383&lt;0,"Error","OK")</f>
        <v>OK</v>
      </c>
      <c r="D383" t="str">
        <f>IF(Raw_Inventory!D383="","Missing","OK")</f>
        <v>OK</v>
      </c>
      <c r="E383" t="str">
        <f t="shared" si="5"/>
        <v>Valid</v>
      </c>
    </row>
    <row r="384" spans="1:5" x14ac:dyDescent="0.25">
      <c r="A384" t="str">
        <f>Raw_Inventory!A384</f>
        <v>P1383</v>
      </c>
      <c r="B384" t="str">
        <f>IF(COUNTIF(Raw_Inventory!A:A,A384)&gt;1,"Duplicate","OK")</f>
        <v>OK</v>
      </c>
      <c r="C384" t="str">
        <f>IF(Raw_Inventory!E384-Raw_Inventory!F384&lt;0,"Error","OK")</f>
        <v>OK</v>
      </c>
      <c r="D384" t="str">
        <f>IF(Raw_Inventory!D384="","Missing","OK")</f>
        <v>OK</v>
      </c>
      <c r="E384" t="str">
        <f t="shared" si="5"/>
        <v>Valid</v>
      </c>
    </row>
    <row r="385" spans="1:5" x14ac:dyDescent="0.25">
      <c r="A385" t="str">
        <f>Raw_Inventory!A385</f>
        <v>P1384</v>
      </c>
      <c r="B385" t="str">
        <f>IF(COUNTIF(Raw_Inventory!A:A,A385)&gt;1,"Duplicate","OK")</f>
        <v>OK</v>
      </c>
      <c r="C385" t="str">
        <f>IF(Raw_Inventory!E385-Raw_Inventory!F385&lt;0,"Error","OK")</f>
        <v>OK</v>
      </c>
      <c r="D385" t="str">
        <f>IF(Raw_Inventory!D385="","Missing","OK")</f>
        <v>OK</v>
      </c>
      <c r="E385" t="str">
        <f t="shared" si="5"/>
        <v>Valid</v>
      </c>
    </row>
    <row r="386" spans="1:5" x14ac:dyDescent="0.25">
      <c r="A386" t="str">
        <f>Raw_Inventory!A386</f>
        <v>P1385</v>
      </c>
      <c r="B386" t="str">
        <f>IF(COUNTIF(Raw_Inventory!A:A,A386)&gt;1,"Duplicate","OK")</f>
        <v>OK</v>
      </c>
      <c r="C386" t="str">
        <f>IF(Raw_Inventory!E386-Raw_Inventory!F386&lt;0,"Error","OK")</f>
        <v>OK</v>
      </c>
      <c r="D386" t="str">
        <f>IF(Raw_Inventory!D386="","Missing","OK")</f>
        <v>OK</v>
      </c>
      <c r="E386" t="str">
        <f t="shared" si="5"/>
        <v>Valid</v>
      </c>
    </row>
    <row r="387" spans="1:5" x14ac:dyDescent="0.25">
      <c r="A387" t="str">
        <f>Raw_Inventory!A387</f>
        <v>P1386</v>
      </c>
      <c r="B387" t="str">
        <f>IF(COUNTIF(Raw_Inventory!A:A,A387)&gt;1,"Duplicate","OK")</f>
        <v>OK</v>
      </c>
      <c r="C387" t="str">
        <f>IF(Raw_Inventory!E387-Raw_Inventory!F387&lt;0,"Error","OK")</f>
        <v>Error</v>
      </c>
      <c r="D387" t="str">
        <f>IF(Raw_Inventory!D387="","Missing","OK")</f>
        <v>OK</v>
      </c>
      <c r="E387" t="str">
        <f t="shared" ref="E387:E450" si="6">IF(OR(B387="Duplicate",C387="Error",D387="Missing"),"Check Record","Valid")</f>
        <v>Check Record</v>
      </c>
    </row>
    <row r="388" spans="1:5" x14ac:dyDescent="0.25">
      <c r="A388" t="str">
        <f>Raw_Inventory!A388</f>
        <v>P1387</v>
      </c>
      <c r="B388" t="str">
        <f>IF(COUNTIF(Raw_Inventory!A:A,A388)&gt;1,"Duplicate","OK")</f>
        <v>OK</v>
      </c>
      <c r="C388" t="str">
        <f>IF(Raw_Inventory!E388-Raw_Inventory!F388&lt;0,"Error","OK")</f>
        <v>OK</v>
      </c>
      <c r="D388" t="str">
        <f>IF(Raw_Inventory!D388="","Missing","OK")</f>
        <v>OK</v>
      </c>
      <c r="E388" t="str">
        <f t="shared" si="6"/>
        <v>Valid</v>
      </c>
    </row>
    <row r="389" spans="1:5" x14ac:dyDescent="0.25">
      <c r="A389" t="str">
        <f>Raw_Inventory!A389</f>
        <v>P1388</v>
      </c>
      <c r="B389" t="str">
        <f>IF(COUNTIF(Raw_Inventory!A:A,A389)&gt;1,"Duplicate","OK")</f>
        <v>OK</v>
      </c>
      <c r="C389" t="str">
        <f>IF(Raw_Inventory!E389-Raw_Inventory!F389&lt;0,"Error","OK")</f>
        <v>OK</v>
      </c>
      <c r="D389" t="str">
        <f>IF(Raw_Inventory!D389="","Missing","OK")</f>
        <v>OK</v>
      </c>
      <c r="E389" t="str">
        <f t="shared" si="6"/>
        <v>Valid</v>
      </c>
    </row>
    <row r="390" spans="1:5" x14ac:dyDescent="0.25">
      <c r="A390" t="str">
        <f>Raw_Inventory!A390</f>
        <v>P1389</v>
      </c>
      <c r="B390" t="str">
        <f>IF(COUNTIF(Raw_Inventory!A:A,A390)&gt;1,"Duplicate","OK")</f>
        <v>OK</v>
      </c>
      <c r="C390" t="str">
        <f>IF(Raw_Inventory!E390-Raw_Inventory!F390&lt;0,"Error","OK")</f>
        <v>OK</v>
      </c>
      <c r="D390" t="str">
        <f>IF(Raw_Inventory!D390="","Missing","OK")</f>
        <v>OK</v>
      </c>
      <c r="E390" t="str">
        <f t="shared" si="6"/>
        <v>Valid</v>
      </c>
    </row>
    <row r="391" spans="1:5" x14ac:dyDescent="0.25">
      <c r="A391" t="str">
        <f>Raw_Inventory!A391</f>
        <v>P1390</v>
      </c>
      <c r="B391" t="str">
        <f>IF(COUNTIF(Raw_Inventory!A:A,A391)&gt;1,"Duplicate","OK")</f>
        <v>OK</v>
      </c>
      <c r="C391" t="str">
        <f>IF(Raw_Inventory!E391-Raw_Inventory!F391&lt;0,"Error","OK")</f>
        <v>OK</v>
      </c>
      <c r="D391" t="str">
        <f>IF(Raw_Inventory!D391="","Missing","OK")</f>
        <v>OK</v>
      </c>
      <c r="E391" t="str">
        <f t="shared" si="6"/>
        <v>Valid</v>
      </c>
    </row>
    <row r="392" spans="1:5" x14ac:dyDescent="0.25">
      <c r="A392" t="str">
        <f>Raw_Inventory!A392</f>
        <v>P1391</v>
      </c>
      <c r="B392" t="str">
        <f>IF(COUNTIF(Raw_Inventory!A:A,A392)&gt;1,"Duplicate","OK")</f>
        <v>OK</v>
      </c>
      <c r="C392" t="str">
        <f>IF(Raw_Inventory!E392-Raw_Inventory!F392&lt;0,"Error","OK")</f>
        <v>OK</v>
      </c>
      <c r="D392" t="str">
        <f>IF(Raw_Inventory!D392="","Missing","OK")</f>
        <v>OK</v>
      </c>
      <c r="E392" t="str">
        <f t="shared" si="6"/>
        <v>Valid</v>
      </c>
    </row>
    <row r="393" spans="1:5" x14ac:dyDescent="0.25">
      <c r="A393" t="str">
        <f>Raw_Inventory!A393</f>
        <v>P1392</v>
      </c>
      <c r="B393" t="str">
        <f>IF(COUNTIF(Raw_Inventory!A:A,A393)&gt;1,"Duplicate","OK")</f>
        <v>OK</v>
      </c>
      <c r="C393" t="str">
        <f>IF(Raw_Inventory!E393-Raw_Inventory!F393&lt;0,"Error","OK")</f>
        <v>OK</v>
      </c>
      <c r="D393" t="str">
        <f>IF(Raw_Inventory!D393="","Missing","OK")</f>
        <v>OK</v>
      </c>
      <c r="E393" t="str">
        <f t="shared" si="6"/>
        <v>Valid</v>
      </c>
    </row>
    <row r="394" spans="1:5" x14ac:dyDescent="0.25">
      <c r="A394" t="str">
        <f>Raw_Inventory!A394</f>
        <v>P1393</v>
      </c>
      <c r="B394" t="str">
        <f>IF(COUNTIF(Raw_Inventory!A:A,A394)&gt;1,"Duplicate","OK")</f>
        <v>OK</v>
      </c>
      <c r="C394" t="str">
        <f>IF(Raw_Inventory!E394-Raw_Inventory!F394&lt;0,"Error","OK")</f>
        <v>OK</v>
      </c>
      <c r="D394" t="str">
        <f>IF(Raw_Inventory!D394="","Missing","OK")</f>
        <v>OK</v>
      </c>
      <c r="E394" t="str">
        <f t="shared" si="6"/>
        <v>Valid</v>
      </c>
    </row>
    <row r="395" spans="1:5" x14ac:dyDescent="0.25">
      <c r="A395" t="str">
        <f>Raw_Inventory!A395</f>
        <v>P1394</v>
      </c>
      <c r="B395" t="str">
        <f>IF(COUNTIF(Raw_Inventory!A:A,A395)&gt;1,"Duplicate","OK")</f>
        <v>OK</v>
      </c>
      <c r="C395" t="str">
        <f>IF(Raw_Inventory!E395-Raw_Inventory!F395&lt;0,"Error","OK")</f>
        <v>OK</v>
      </c>
      <c r="D395" t="str">
        <f>IF(Raw_Inventory!D395="","Missing","OK")</f>
        <v>OK</v>
      </c>
      <c r="E395" t="str">
        <f t="shared" si="6"/>
        <v>Valid</v>
      </c>
    </row>
    <row r="396" spans="1:5" x14ac:dyDescent="0.25">
      <c r="A396" t="str">
        <f>Raw_Inventory!A396</f>
        <v>P1395</v>
      </c>
      <c r="B396" t="str">
        <f>IF(COUNTIF(Raw_Inventory!A:A,A396)&gt;1,"Duplicate","OK")</f>
        <v>OK</v>
      </c>
      <c r="C396" t="str">
        <f>IF(Raw_Inventory!E396-Raw_Inventory!F396&lt;0,"Error","OK")</f>
        <v>OK</v>
      </c>
      <c r="D396" t="str">
        <f>IF(Raw_Inventory!D396="","Missing","OK")</f>
        <v>OK</v>
      </c>
      <c r="E396" t="str">
        <f t="shared" si="6"/>
        <v>Valid</v>
      </c>
    </row>
    <row r="397" spans="1:5" x14ac:dyDescent="0.25">
      <c r="A397" t="str">
        <f>Raw_Inventory!A397</f>
        <v>P1396</v>
      </c>
      <c r="B397" t="str">
        <f>IF(COUNTIF(Raw_Inventory!A:A,A397)&gt;1,"Duplicate","OK")</f>
        <v>OK</v>
      </c>
      <c r="C397" t="str">
        <f>IF(Raw_Inventory!E397-Raw_Inventory!F397&lt;0,"Error","OK")</f>
        <v>Error</v>
      </c>
      <c r="D397" t="str">
        <f>IF(Raw_Inventory!D397="","Missing","OK")</f>
        <v>OK</v>
      </c>
      <c r="E397" t="str">
        <f t="shared" si="6"/>
        <v>Check Record</v>
      </c>
    </row>
    <row r="398" spans="1:5" x14ac:dyDescent="0.25">
      <c r="A398" t="str">
        <f>Raw_Inventory!A398</f>
        <v>P1397</v>
      </c>
      <c r="B398" t="str">
        <f>IF(COUNTIF(Raw_Inventory!A:A,A398)&gt;1,"Duplicate","OK")</f>
        <v>OK</v>
      </c>
      <c r="C398" t="str">
        <f>IF(Raw_Inventory!E398-Raw_Inventory!F398&lt;0,"Error","OK")</f>
        <v>OK</v>
      </c>
      <c r="D398" t="str">
        <f>IF(Raw_Inventory!D398="","Missing","OK")</f>
        <v>OK</v>
      </c>
      <c r="E398" t="str">
        <f t="shared" si="6"/>
        <v>Valid</v>
      </c>
    </row>
    <row r="399" spans="1:5" x14ac:dyDescent="0.25">
      <c r="A399" t="str">
        <f>Raw_Inventory!A399</f>
        <v>P1398</v>
      </c>
      <c r="B399" t="str">
        <f>IF(COUNTIF(Raw_Inventory!A:A,A399)&gt;1,"Duplicate","OK")</f>
        <v>OK</v>
      </c>
      <c r="C399" t="str">
        <f>IF(Raw_Inventory!E399-Raw_Inventory!F399&lt;0,"Error","OK")</f>
        <v>OK</v>
      </c>
      <c r="D399" t="str">
        <f>IF(Raw_Inventory!D399="","Missing","OK")</f>
        <v>OK</v>
      </c>
      <c r="E399" t="str">
        <f t="shared" si="6"/>
        <v>Valid</v>
      </c>
    </row>
    <row r="400" spans="1:5" x14ac:dyDescent="0.25">
      <c r="A400" t="str">
        <f>Raw_Inventory!A400</f>
        <v>P1399</v>
      </c>
      <c r="B400" t="str">
        <f>IF(COUNTIF(Raw_Inventory!A:A,A400)&gt;1,"Duplicate","OK")</f>
        <v>OK</v>
      </c>
      <c r="C400" t="str">
        <f>IF(Raw_Inventory!E400-Raw_Inventory!F400&lt;0,"Error","OK")</f>
        <v>OK</v>
      </c>
      <c r="D400" t="str">
        <f>IF(Raw_Inventory!D400="","Missing","OK")</f>
        <v>OK</v>
      </c>
      <c r="E400" t="str">
        <f t="shared" si="6"/>
        <v>Valid</v>
      </c>
    </row>
    <row r="401" spans="1:5" x14ac:dyDescent="0.25">
      <c r="A401" t="str">
        <f>Raw_Inventory!A401</f>
        <v>P1400</v>
      </c>
      <c r="B401" t="str">
        <f>IF(COUNTIF(Raw_Inventory!A:A,A401)&gt;1,"Duplicate","OK")</f>
        <v>OK</v>
      </c>
      <c r="C401" t="str">
        <f>IF(Raw_Inventory!E401-Raw_Inventory!F401&lt;0,"Error","OK")</f>
        <v>OK</v>
      </c>
      <c r="D401" t="str">
        <f>IF(Raw_Inventory!D401="","Missing","OK")</f>
        <v>OK</v>
      </c>
      <c r="E401" t="str">
        <f t="shared" si="6"/>
        <v>Valid</v>
      </c>
    </row>
    <row r="402" spans="1:5" x14ac:dyDescent="0.25">
      <c r="A402" t="str">
        <f>Raw_Inventory!A402</f>
        <v>P1401</v>
      </c>
      <c r="B402" t="str">
        <f>IF(COUNTIF(Raw_Inventory!A:A,A402)&gt;1,"Duplicate","OK")</f>
        <v>OK</v>
      </c>
      <c r="C402" t="str">
        <f>IF(Raw_Inventory!E402-Raw_Inventory!F402&lt;0,"Error","OK")</f>
        <v>OK</v>
      </c>
      <c r="D402" t="str">
        <f>IF(Raw_Inventory!D402="","Missing","OK")</f>
        <v>OK</v>
      </c>
      <c r="E402" t="str">
        <f t="shared" si="6"/>
        <v>Valid</v>
      </c>
    </row>
    <row r="403" spans="1:5" x14ac:dyDescent="0.25">
      <c r="A403" t="str">
        <f>Raw_Inventory!A403</f>
        <v>P1402</v>
      </c>
      <c r="B403" t="str">
        <f>IF(COUNTIF(Raw_Inventory!A:A,A403)&gt;1,"Duplicate","OK")</f>
        <v>OK</v>
      </c>
      <c r="C403" t="str">
        <f>IF(Raw_Inventory!E403-Raw_Inventory!F403&lt;0,"Error","OK")</f>
        <v>OK</v>
      </c>
      <c r="D403" t="str">
        <f>IF(Raw_Inventory!D403="","Missing","OK")</f>
        <v>OK</v>
      </c>
      <c r="E403" t="str">
        <f t="shared" si="6"/>
        <v>Valid</v>
      </c>
    </row>
    <row r="404" spans="1:5" x14ac:dyDescent="0.25">
      <c r="A404" t="str">
        <f>Raw_Inventory!A404</f>
        <v>P1403</v>
      </c>
      <c r="B404" t="str">
        <f>IF(COUNTIF(Raw_Inventory!A:A,A404)&gt;1,"Duplicate","OK")</f>
        <v>OK</v>
      </c>
      <c r="C404" t="str">
        <f>IF(Raw_Inventory!E404-Raw_Inventory!F404&lt;0,"Error","OK")</f>
        <v>OK</v>
      </c>
      <c r="D404" t="str">
        <f>IF(Raw_Inventory!D404="","Missing","OK")</f>
        <v>OK</v>
      </c>
      <c r="E404" t="str">
        <f t="shared" si="6"/>
        <v>Valid</v>
      </c>
    </row>
    <row r="405" spans="1:5" x14ac:dyDescent="0.25">
      <c r="A405" t="str">
        <f>Raw_Inventory!A405</f>
        <v>P1404</v>
      </c>
      <c r="B405" t="str">
        <f>IF(COUNTIF(Raw_Inventory!A:A,A405)&gt;1,"Duplicate","OK")</f>
        <v>OK</v>
      </c>
      <c r="C405" t="str">
        <f>IF(Raw_Inventory!E405-Raw_Inventory!F405&lt;0,"Error","OK")</f>
        <v>Error</v>
      </c>
      <c r="D405" t="str">
        <f>IF(Raw_Inventory!D405="","Missing","OK")</f>
        <v>OK</v>
      </c>
      <c r="E405" t="str">
        <f t="shared" si="6"/>
        <v>Check Record</v>
      </c>
    </row>
    <row r="406" spans="1:5" x14ac:dyDescent="0.25">
      <c r="A406" t="str">
        <f>Raw_Inventory!A406</f>
        <v>P1405</v>
      </c>
      <c r="B406" t="str">
        <f>IF(COUNTIF(Raw_Inventory!A:A,A406)&gt;1,"Duplicate","OK")</f>
        <v>OK</v>
      </c>
      <c r="C406" t="str">
        <f>IF(Raw_Inventory!E406-Raw_Inventory!F406&lt;0,"Error","OK")</f>
        <v>OK</v>
      </c>
      <c r="D406" t="str">
        <f>IF(Raw_Inventory!D406="","Missing","OK")</f>
        <v>OK</v>
      </c>
      <c r="E406" t="str">
        <f t="shared" si="6"/>
        <v>Valid</v>
      </c>
    </row>
    <row r="407" spans="1:5" x14ac:dyDescent="0.25">
      <c r="A407" t="str">
        <f>Raw_Inventory!A407</f>
        <v>P1406</v>
      </c>
      <c r="B407" t="str">
        <f>IF(COUNTIF(Raw_Inventory!A:A,A407)&gt;1,"Duplicate","OK")</f>
        <v>OK</v>
      </c>
      <c r="C407" t="str">
        <f>IF(Raw_Inventory!E407-Raw_Inventory!F407&lt;0,"Error","OK")</f>
        <v>Error</v>
      </c>
      <c r="D407" t="str">
        <f>IF(Raw_Inventory!D407="","Missing","OK")</f>
        <v>OK</v>
      </c>
      <c r="E407" t="str">
        <f t="shared" si="6"/>
        <v>Check Record</v>
      </c>
    </row>
    <row r="408" spans="1:5" x14ac:dyDescent="0.25">
      <c r="A408" t="str">
        <f>Raw_Inventory!A408</f>
        <v>P1407</v>
      </c>
      <c r="B408" t="str">
        <f>IF(COUNTIF(Raw_Inventory!A:A,A408)&gt;1,"Duplicate","OK")</f>
        <v>OK</v>
      </c>
      <c r="C408" t="str">
        <f>IF(Raw_Inventory!E408-Raw_Inventory!F408&lt;0,"Error","OK")</f>
        <v>Error</v>
      </c>
      <c r="D408" t="str">
        <f>IF(Raw_Inventory!D408="","Missing","OK")</f>
        <v>OK</v>
      </c>
      <c r="E408" t="str">
        <f t="shared" si="6"/>
        <v>Check Record</v>
      </c>
    </row>
    <row r="409" spans="1:5" x14ac:dyDescent="0.25">
      <c r="A409" t="str">
        <f>Raw_Inventory!A409</f>
        <v>P1408</v>
      </c>
      <c r="B409" t="str">
        <f>IF(COUNTIF(Raw_Inventory!A:A,A409)&gt;1,"Duplicate","OK")</f>
        <v>OK</v>
      </c>
      <c r="C409" t="str">
        <f>IF(Raw_Inventory!E409-Raw_Inventory!F409&lt;0,"Error","OK")</f>
        <v>OK</v>
      </c>
      <c r="D409" t="str">
        <f>IF(Raw_Inventory!D409="","Missing","OK")</f>
        <v>OK</v>
      </c>
      <c r="E409" t="str">
        <f t="shared" si="6"/>
        <v>Valid</v>
      </c>
    </row>
    <row r="410" spans="1:5" x14ac:dyDescent="0.25">
      <c r="A410" t="str">
        <f>Raw_Inventory!A410</f>
        <v>P1409</v>
      </c>
      <c r="B410" t="str">
        <f>IF(COUNTIF(Raw_Inventory!A:A,A410)&gt;1,"Duplicate","OK")</f>
        <v>OK</v>
      </c>
      <c r="C410" t="str">
        <f>IF(Raw_Inventory!E410-Raw_Inventory!F410&lt;0,"Error","OK")</f>
        <v>Error</v>
      </c>
      <c r="D410" t="str">
        <f>IF(Raw_Inventory!D410="","Missing","OK")</f>
        <v>OK</v>
      </c>
      <c r="E410" t="str">
        <f t="shared" si="6"/>
        <v>Check Record</v>
      </c>
    </row>
    <row r="411" spans="1:5" x14ac:dyDescent="0.25">
      <c r="A411" t="str">
        <f>Raw_Inventory!A411</f>
        <v>P1410</v>
      </c>
      <c r="B411" t="str">
        <f>IF(COUNTIF(Raw_Inventory!A:A,A411)&gt;1,"Duplicate","OK")</f>
        <v>OK</v>
      </c>
      <c r="C411" t="str">
        <f>IF(Raw_Inventory!E411-Raw_Inventory!F411&lt;0,"Error","OK")</f>
        <v>OK</v>
      </c>
      <c r="D411" t="str">
        <f>IF(Raw_Inventory!D411="","Missing","OK")</f>
        <v>OK</v>
      </c>
      <c r="E411" t="str">
        <f t="shared" si="6"/>
        <v>Valid</v>
      </c>
    </row>
    <row r="412" spans="1:5" x14ac:dyDescent="0.25">
      <c r="A412" t="str">
        <f>Raw_Inventory!A412</f>
        <v>P1411</v>
      </c>
      <c r="B412" t="str">
        <f>IF(COUNTIF(Raw_Inventory!A:A,A412)&gt;1,"Duplicate","OK")</f>
        <v>OK</v>
      </c>
      <c r="C412" t="str">
        <f>IF(Raw_Inventory!E412-Raw_Inventory!F412&lt;0,"Error","OK")</f>
        <v>Error</v>
      </c>
      <c r="D412" t="str">
        <f>IF(Raw_Inventory!D412="","Missing","OK")</f>
        <v>OK</v>
      </c>
      <c r="E412" t="str">
        <f t="shared" si="6"/>
        <v>Check Record</v>
      </c>
    </row>
    <row r="413" spans="1:5" x14ac:dyDescent="0.25">
      <c r="A413" t="str">
        <f>Raw_Inventory!A413</f>
        <v>P1412</v>
      </c>
      <c r="B413" t="str">
        <f>IF(COUNTIF(Raw_Inventory!A:A,A413)&gt;1,"Duplicate","OK")</f>
        <v>OK</v>
      </c>
      <c r="C413" t="str">
        <f>IF(Raw_Inventory!E413-Raw_Inventory!F413&lt;0,"Error","OK")</f>
        <v>OK</v>
      </c>
      <c r="D413" t="str">
        <f>IF(Raw_Inventory!D413="","Missing","OK")</f>
        <v>OK</v>
      </c>
      <c r="E413" t="str">
        <f t="shared" si="6"/>
        <v>Valid</v>
      </c>
    </row>
    <row r="414" spans="1:5" x14ac:dyDescent="0.25">
      <c r="A414" t="str">
        <f>Raw_Inventory!A414</f>
        <v>P1413</v>
      </c>
      <c r="B414" t="str">
        <f>IF(COUNTIF(Raw_Inventory!A:A,A414)&gt;1,"Duplicate","OK")</f>
        <v>OK</v>
      </c>
      <c r="C414" t="str">
        <f>IF(Raw_Inventory!E414-Raw_Inventory!F414&lt;0,"Error","OK")</f>
        <v>OK</v>
      </c>
      <c r="D414" t="str">
        <f>IF(Raw_Inventory!D414="","Missing","OK")</f>
        <v>OK</v>
      </c>
      <c r="E414" t="str">
        <f t="shared" si="6"/>
        <v>Valid</v>
      </c>
    </row>
    <row r="415" spans="1:5" x14ac:dyDescent="0.25">
      <c r="A415" t="str">
        <f>Raw_Inventory!A415</f>
        <v>P1414</v>
      </c>
      <c r="B415" t="str">
        <f>IF(COUNTIF(Raw_Inventory!A:A,A415)&gt;1,"Duplicate","OK")</f>
        <v>OK</v>
      </c>
      <c r="C415" t="str">
        <f>IF(Raw_Inventory!E415-Raw_Inventory!F415&lt;0,"Error","OK")</f>
        <v>Error</v>
      </c>
      <c r="D415" t="str">
        <f>IF(Raw_Inventory!D415="","Missing","OK")</f>
        <v>OK</v>
      </c>
      <c r="E415" t="str">
        <f t="shared" si="6"/>
        <v>Check Record</v>
      </c>
    </row>
    <row r="416" spans="1:5" x14ac:dyDescent="0.25">
      <c r="A416" t="str">
        <f>Raw_Inventory!A416</f>
        <v>P1415</v>
      </c>
      <c r="B416" t="str">
        <f>IF(COUNTIF(Raw_Inventory!A:A,A416)&gt;1,"Duplicate","OK")</f>
        <v>OK</v>
      </c>
      <c r="C416" t="str">
        <f>IF(Raw_Inventory!E416-Raw_Inventory!F416&lt;0,"Error","OK")</f>
        <v>OK</v>
      </c>
      <c r="D416" t="str">
        <f>IF(Raw_Inventory!D416="","Missing","OK")</f>
        <v>OK</v>
      </c>
      <c r="E416" t="str">
        <f t="shared" si="6"/>
        <v>Valid</v>
      </c>
    </row>
    <row r="417" spans="1:5" x14ac:dyDescent="0.25">
      <c r="A417" t="str">
        <f>Raw_Inventory!A417</f>
        <v>P1416</v>
      </c>
      <c r="B417" t="str">
        <f>IF(COUNTIF(Raw_Inventory!A:A,A417)&gt;1,"Duplicate","OK")</f>
        <v>OK</v>
      </c>
      <c r="C417" t="str">
        <f>IF(Raw_Inventory!E417-Raw_Inventory!F417&lt;0,"Error","OK")</f>
        <v>Error</v>
      </c>
      <c r="D417" t="str">
        <f>IF(Raw_Inventory!D417="","Missing","OK")</f>
        <v>OK</v>
      </c>
      <c r="E417" t="str">
        <f t="shared" si="6"/>
        <v>Check Record</v>
      </c>
    </row>
    <row r="418" spans="1:5" x14ac:dyDescent="0.25">
      <c r="A418" t="str">
        <f>Raw_Inventory!A418</f>
        <v>P1417</v>
      </c>
      <c r="B418" t="str">
        <f>IF(COUNTIF(Raw_Inventory!A:A,A418)&gt;1,"Duplicate","OK")</f>
        <v>OK</v>
      </c>
      <c r="C418" t="str">
        <f>IF(Raw_Inventory!E418-Raw_Inventory!F418&lt;0,"Error","OK")</f>
        <v>OK</v>
      </c>
      <c r="D418" t="str">
        <f>IF(Raw_Inventory!D418="","Missing","OK")</f>
        <v>OK</v>
      </c>
      <c r="E418" t="str">
        <f t="shared" si="6"/>
        <v>Valid</v>
      </c>
    </row>
    <row r="419" spans="1:5" x14ac:dyDescent="0.25">
      <c r="A419" t="str">
        <f>Raw_Inventory!A419</f>
        <v>P1418</v>
      </c>
      <c r="B419" t="str">
        <f>IF(COUNTIF(Raw_Inventory!A:A,A419)&gt;1,"Duplicate","OK")</f>
        <v>OK</v>
      </c>
      <c r="C419" t="str">
        <f>IF(Raw_Inventory!E419-Raw_Inventory!F419&lt;0,"Error","OK")</f>
        <v>Error</v>
      </c>
      <c r="D419" t="str">
        <f>IF(Raw_Inventory!D419="","Missing","OK")</f>
        <v>OK</v>
      </c>
      <c r="E419" t="str">
        <f t="shared" si="6"/>
        <v>Check Record</v>
      </c>
    </row>
    <row r="420" spans="1:5" x14ac:dyDescent="0.25">
      <c r="A420" t="str">
        <f>Raw_Inventory!A420</f>
        <v>P1419</v>
      </c>
      <c r="B420" t="str">
        <f>IF(COUNTIF(Raw_Inventory!A:A,A420)&gt;1,"Duplicate","OK")</f>
        <v>OK</v>
      </c>
      <c r="C420" t="str">
        <f>IF(Raw_Inventory!E420-Raw_Inventory!F420&lt;0,"Error","OK")</f>
        <v>OK</v>
      </c>
      <c r="D420" t="str">
        <f>IF(Raw_Inventory!D420="","Missing","OK")</f>
        <v>OK</v>
      </c>
      <c r="E420" t="str">
        <f t="shared" si="6"/>
        <v>Valid</v>
      </c>
    </row>
    <row r="421" spans="1:5" x14ac:dyDescent="0.25">
      <c r="A421" t="str">
        <f>Raw_Inventory!A421</f>
        <v>P1420</v>
      </c>
      <c r="B421" t="str">
        <f>IF(COUNTIF(Raw_Inventory!A:A,A421)&gt;1,"Duplicate","OK")</f>
        <v>OK</v>
      </c>
      <c r="C421" t="str">
        <f>IF(Raw_Inventory!E421-Raw_Inventory!F421&lt;0,"Error","OK")</f>
        <v>Error</v>
      </c>
      <c r="D421" t="str">
        <f>IF(Raw_Inventory!D421="","Missing","OK")</f>
        <v>OK</v>
      </c>
      <c r="E421" t="str">
        <f t="shared" si="6"/>
        <v>Check Record</v>
      </c>
    </row>
    <row r="422" spans="1:5" x14ac:dyDescent="0.25">
      <c r="A422" t="str">
        <f>Raw_Inventory!A422</f>
        <v>P1421</v>
      </c>
      <c r="B422" t="str">
        <f>IF(COUNTIF(Raw_Inventory!A:A,A422)&gt;1,"Duplicate","OK")</f>
        <v>OK</v>
      </c>
      <c r="C422" t="str">
        <f>IF(Raw_Inventory!E422-Raw_Inventory!F422&lt;0,"Error","OK")</f>
        <v>OK</v>
      </c>
      <c r="D422" t="str">
        <f>IF(Raw_Inventory!D422="","Missing","OK")</f>
        <v>OK</v>
      </c>
      <c r="E422" t="str">
        <f t="shared" si="6"/>
        <v>Valid</v>
      </c>
    </row>
    <row r="423" spans="1:5" x14ac:dyDescent="0.25">
      <c r="A423" t="str">
        <f>Raw_Inventory!A423</f>
        <v>P1422</v>
      </c>
      <c r="B423" t="str">
        <f>IF(COUNTIF(Raw_Inventory!A:A,A423)&gt;1,"Duplicate","OK")</f>
        <v>OK</v>
      </c>
      <c r="C423" t="str">
        <f>IF(Raw_Inventory!E423-Raw_Inventory!F423&lt;0,"Error","OK")</f>
        <v>OK</v>
      </c>
      <c r="D423" t="str">
        <f>IF(Raw_Inventory!D423="","Missing","OK")</f>
        <v>OK</v>
      </c>
      <c r="E423" t="str">
        <f t="shared" si="6"/>
        <v>Valid</v>
      </c>
    </row>
    <row r="424" spans="1:5" x14ac:dyDescent="0.25">
      <c r="A424" t="str">
        <f>Raw_Inventory!A424</f>
        <v>P1423</v>
      </c>
      <c r="B424" t="str">
        <f>IF(COUNTIF(Raw_Inventory!A:A,A424)&gt;1,"Duplicate","OK")</f>
        <v>OK</v>
      </c>
      <c r="C424" t="str">
        <f>IF(Raw_Inventory!E424-Raw_Inventory!F424&lt;0,"Error","OK")</f>
        <v>OK</v>
      </c>
      <c r="D424" t="str">
        <f>IF(Raw_Inventory!D424="","Missing","OK")</f>
        <v>OK</v>
      </c>
      <c r="E424" t="str">
        <f t="shared" si="6"/>
        <v>Valid</v>
      </c>
    </row>
    <row r="425" spans="1:5" x14ac:dyDescent="0.25">
      <c r="A425" t="str">
        <f>Raw_Inventory!A425</f>
        <v>P1424</v>
      </c>
      <c r="B425" t="str">
        <f>IF(COUNTIF(Raw_Inventory!A:A,A425)&gt;1,"Duplicate","OK")</f>
        <v>OK</v>
      </c>
      <c r="C425" t="str">
        <f>IF(Raw_Inventory!E425-Raw_Inventory!F425&lt;0,"Error","OK")</f>
        <v>OK</v>
      </c>
      <c r="D425" t="str">
        <f>IF(Raw_Inventory!D425="","Missing","OK")</f>
        <v>OK</v>
      </c>
      <c r="E425" t="str">
        <f t="shared" si="6"/>
        <v>Valid</v>
      </c>
    </row>
    <row r="426" spans="1:5" x14ac:dyDescent="0.25">
      <c r="A426" t="str">
        <f>Raw_Inventory!A426</f>
        <v>P1425</v>
      </c>
      <c r="B426" t="str">
        <f>IF(COUNTIF(Raw_Inventory!A:A,A426)&gt;1,"Duplicate","OK")</f>
        <v>OK</v>
      </c>
      <c r="C426" t="str">
        <f>IF(Raw_Inventory!E426-Raw_Inventory!F426&lt;0,"Error","OK")</f>
        <v>OK</v>
      </c>
      <c r="D426" t="str">
        <f>IF(Raw_Inventory!D426="","Missing","OK")</f>
        <v>OK</v>
      </c>
      <c r="E426" t="str">
        <f t="shared" si="6"/>
        <v>Valid</v>
      </c>
    </row>
    <row r="427" spans="1:5" x14ac:dyDescent="0.25">
      <c r="A427" t="str">
        <f>Raw_Inventory!A427</f>
        <v>P1426</v>
      </c>
      <c r="B427" t="str">
        <f>IF(COUNTIF(Raw_Inventory!A:A,A427)&gt;1,"Duplicate","OK")</f>
        <v>OK</v>
      </c>
      <c r="C427" t="str">
        <f>IF(Raw_Inventory!E427-Raw_Inventory!F427&lt;0,"Error","OK")</f>
        <v>Error</v>
      </c>
      <c r="D427" t="str">
        <f>IF(Raw_Inventory!D427="","Missing","OK")</f>
        <v>OK</v>
      </c>
      <c r="E427" t="str">
        <f t="shared" si="6"/>
        <v>Check Record</v>
      </c>
    </row>
    <row r="428" spans="1:5" x14ac:dyDescent="0.25">
      <c r="A428" t="str">
        <f>Raw_Inventory!A428</f>
        <v>P1427</v>
      </c>
      <c r="B428" t="str">
        <f>IF(COUNTIF(Raw_Inventory!A:A,A428)&gt;1,"Duplicate","OK")</f>
        <v>OK</v>
      </c>
      <c r="C428" t="str">
        <f>IF(Raw_Inventory!E428-Raw_Inventory!F428&lt;0,"Error","OK")</f>
        <v>OK</v>
      </c>
      <c r="D428" t="str">
        <f>IF(Raw_Inventory!D428="","Missing","OK")</f>
        <v>OK</v>
      </c>
      <c r="E428" t="str">
        <f t="shared" si="6"/>
        <v>Valid</v>
      </c>
    </row>
    <row r="429" spans="1:5" x14ac:dyDescent="0.25">
      <c r="A429" t="str">
        <f>Raw_Inventory!A429</f>
        <v>P1428</v>
      </c>
      <c r="B429" t="str">
        <f>IF(COUNTIF(Raw_Inventory!A:A,A429)&gt;1,"Duplicate","OK")</f>
        <v>OK</v>
      </c>
      <c r="C429" t="str">
        <f>IF(Raw_Inventory!E429-Raw_Inventory!F429&lt;0,"Error","OK")</f>
        <v>Error</v>
      </c>
      <c r="D429" t="str">
        <f>IF(Raw_Inventory!D429="","Missing","OK")</f>
        <v>OK</v>
      </c>
      <c r="E429" t="str">
        <f t="shared" si="6"/>
        <v>Check Record</v>
      </c>
    </row>
    <row r="430" spans="1:5" x14ac:dyDescent="0.25">
      <c r="A430" t="str">
        <f>Raw_Inventory!A430</f>
        <v>P1429</v>
      </c>
      <c r="B430" t="str">
        <f>IF(COUNTIF(Raw_Inventory!A:A,A430)&gt;1,"Duplicate","OK")</f>
        <v>OK</v>
      </c>
      <c r="C430" t="str">
        <f>IF(Raw_Inventory!E430-Raw_Inventory!F430&lt;0,"Error","OK")</f>
        <v>OK</v>
      </c>
      <c r="D430" t="str">
        <f>IF(Raw_Inventory!D430="","Missing","OK")</f>
        <v>OK</v>
      </c>
      <c r="E430" t="str">
        <f t="shared" si="6"/>
        <v>Valid</v>
      </c>
    </row>
    <row r="431" spans="1:5" x14ac:dyDescent="0.25">
      <c r="A431" t="str">
        <f>Raw_Inventory!A431</f>
        <v>P1430</v>
      </c>
      <c r="B431" t="str">
        <f>IF(COUNTIF(Raw_Inventory!A:A,A431)&gt;1,"Duplicate","OK")</f>
        <v>OK</v>
      </c>
      <c r="C431" t="str">
        <f>IF(Raw_Inventory!E431-Raw_Inventory!F431&lt;0,"Error","OK")</f>
        <v>OK</v>
      </c>
      <c r="D431" t="str">
        <f>IF(Raw_Inventory!D431="","Missing","OK")</f>
        <v>OK</v>
      </c>
      <c r="E431" t="str">
        <f t="shared" si="6"/>
        <v>Valid</v>
      </c>
    </row>
    <row r="432" spans="1:5" x14ac:dyDescent="0.25">
      <c r="A432" t="str">
        <f>Raw_Inventory!A432</f>
        <v>P1431</v>
      </c>
      <c r="B432" t="str">
        <f>IF(COUNTIF(Raw_Inventory!A:A,A432)&gt;1,"Duplicate","OK")</f>
        <v>OK</v>
      </c>
      <c r="C432" t="str">
        <f>IF(Raw_Inventory!E432-Raw_Inventory!F432&lt;0,"Error","OK")</f>
        <v>OK</v>
      </c>
      <c r="D432" t="str">
        <f>IF(Raw_Inventory!D432="","Missing","OK")</f>
        <v>OK</v>
      </c>
      <c r="E432" t="str">
        <f t="shared" si="6"/>
        <v>Valid</v>
      </c>
    </row>
    <row r="433" spans="1:5" x14ac:dyDescent="0.25">
      <c r="A433" t="str">
        <f>Raw_Inventory!A433</f>
        <v>P1432</v>
      </c>
      <c r="B433" t="str">
        <f>IF(COUNTIF(Raw_Inventory!A:A,A433)&gt;1,"Duplicate","OK")</f>
        <v>OK</v>
      </c>
      <c r="C433" t="str">
        <f>IF(Raw_Inventory!E433-Raw_Inventory!F433&lt;0,"Error","OK")</f>
        <v>OK</v>
      </c>
      <c r="D433" t="str">
        <f>IF(Raw_Inventory!D433="","Missing","OK")</f>
        <v>OK</v>
      </c>
      <c r="E433" t="str">
        <f t="shared" si="6"/>
        <v>Valid</v>
      </c>
    </row>
    <row r="434" spans="1:5" x14ac:dyDescent="0.25">
      <c r="A434" t="str">
        <f>Raw_Inventory!A434</f>
        <v>P1433</v>
      </c>
      <c r="B434" t="str">
        <f>IF(COUNTIF(Raw_Inventory!A:A,A434)&gt;1,"Duplicate","OK")</f>
        <v>OK</v>
      </c>
      <c r="C434" t="str">
        <f>IF(Raw_Inventory!E434-Raw_Inventory!F434&lt;0,"Error","OK")</f>
        <v>OK</v>
      </c>
      <c r="D434" t="str">
        <f>IF(Raw_Inventory!D434="","Missing","OK")</f>
        <v>OK</v>
      </c>
      <c r="E434" t="str">
        <f t="shared" si="6"/>
        <v>Valid</v>
      </c>
    </row>
    <row r="435" spans="1:5" x14ac:dyDescent="0.25">
      <c r="A435" t="str">
        <f>Raw_Inventory!A435</f>
        <v>P1434</v>
      </c>
      <c r="B435" t="str">
        <f>IF(COUNTIF(Raw_Inventory!A:A,A435)&gt;1,"Duplicate","OK")</f>
        <v>OK</v>
      </c>
      <c r="C435" t="str">
        <f>IF(Raw_Inventory!E435-Raw_Inventory!F435&lt;0,"Error","OK")</f>
        <v>OK</v>
      </c>
      <c r="D435" t="str">
        <f>IF(Raw_Inventory!D435="","Missing","OK")</f>
        <v>OK</v>
      </c>
      <c r="E435" t="str">
        <f t="shared" si="6"/>
        <v>Valid</v>
      </c>
    </row>
    <row r="436" spans="1:5" x14ac:dyDescent="0.25">
      <c r="A436" t="str">
        <f>Raw_Inventory!A436</f>
        <v>P1435</v>
      </c>
      <c r="B436" t="str">
        <f>IF(COUNTIF(Raw_Inventory!A:A,A436)&gt;1,"Duplicate","OK")</f>
        <v>OK</v>
      </c>
      <c r="C436" t="str">
        <f>IF(Raw_Inventory!E436-Raw_Inventory!F436&lt;0,"Error","OK")</f>
        <v>OK</v>
      </c>
      <c r="D436" t="str">
        <f>IF(Raw_Inventory!D436="","Missing","OK")</f>
        <v>OK</v>
      </c>
      <c r="E436" t="str">
        <f t="shared" si="6"/>
        <v>Valid</v>
      </c>
    </row>
    <row r="437" spans="1:5" x14ac:dyDescent="0.25">
      <c r="A437" t="str">
        <f>Raw_Inventory!A437</f>
        <v>P1436</v>
      </c>
      <c r="B437" t="str">
        <f>IF(COUNTIF(Raw_Inventory!A:A,A437)&gt;1,"Duplicate","OK")</f>
        <v>OK</v>
      </c>
      <c r="C437" t="str">
        <f>IF(Raw_Inventory!E437-Raw_Inventory!F437&lt;0,"Error","OK")</f>
        <v>Error</v>
      </c>
      <c r="D437" t="str">
        <f>IF(Raw_Inventory!D437="","Missing","OK")</f>
        <v>OK</v>
      </c>
      <c r="E437" t="str">
        <f t="shared" si="6"/>
        <v>Check Record</v>
      </c>
    </row>
    <row r="438" spans="1:5" x14ac:dyDescent="0.25">
      <c r="A438" t="str">
        <f>Raw_Inventory!A438</f>
        <v>P1437</v>
      </c>
      <c r="B438" t="str">
        <f>IF(COUNTIF(Raw_Inventory!A:A,A438)&gt;1,"Duplicate","OK")</f>
        <v>OK</v>
      </c>
      <c r="C438" t="str">
        <f>IF(Raw_Inventory!E438-Raw_Inventory!F438&lt;0,"Error","OK")</f>
        <v>OK</v>
      </c>
      <c r="D438" t="str">
        <f>IF(Raw_Inventory!D438="","Missing","OK")</f>
        <v>OK</v>
      </c>
      <c r="E438" t="str">
        <f t="shared" si="6"/>
        <v>Valid</v>
      </c>
    </row>
    <row r="439" spans="1:5" x14ac:dyDescent="0.25">
      <c r="A439" t="str">
        <f>Raw_Inventory!A439</f>
        <v>P1438</v>
      </c>
      <c r="B439" t="str">
        <f>IF(COUNTIF(Raw_Inventory!A:A,A439)&gt;1,"Duplicate","OK")</f>
        <v>OK</v>
      </c>
      <c r="C439" t="str">
        <f>IF(Raw_Inventory!E439-Raw_Inventory!F439&lt;0,"Error","OK")</f>
        <v>OK</v>
      </c>
      <c r="D439" t="str">
        <f>IF(Raw_Inventory!D439="","Missing","OK")</f>
        <v>OK</v>
      </c>
      <c r="E439" t="str">
        <f t="shared" si="6"/>
        <v>Valid</v>
      </c>
    </row>
    <row r="440" spans="1:5" x14ac:dyDescent="0.25">
      <c r="A440" t="str">
        <f>Raw_Inventory!A440</f>
        <v>P1439</v>
      </c>
      <c r="B440" t="str">
        <f>IF(COUNTIF(Raw_Inventory!A:A,A440)&gt;1,"Duplicate","OK")</f>
        <v>OK</v>
      </c>
      <c r="C440" t="str">
        <f>IF(Raw_Inventory!E440-Raw_Inventory!F440&lt;0,"Error","OK")</f>
        <v>Error</v>
      </c>
      <c r="D440" t="str">
        <f>IF(Raw_Inventory!D440="","Missing","OK")</f>
        <v>OK</v>
      </c>
      <c r="E440" t="str">
        <f t="shared" si="6"/>
        <v>Check Record</v>
      </c>
    </row>
    <row r="441" spans="1:5" x14ac:dyDescent="0.25">
      <c r="A441" t="str">
        <f>Raw_Inventory!A441</f>
        <v>P1440</v>
      </c>
      <c r="B441" t="str">
        <f>IF(COUNTIF(Raw_Inventory!A:A,A441)&gt;1,"Duplicate","OK")</f>
        <v>OK</v>
      </c>
      <c r="C441" t="str">
        <f>IF(Raw_Inventory!E441-Raw_Inventory!F441&lt;0,"Error","OK")</f>
        <v>OK</v>
      </c>
      <c r="D441" t="str">
        <f>IF(Raw_Inventory!D441="","Missing","OK")</f>
        <v>OK</v>
      </c>
      <c r="E441" t="str">
        <f t="shared" si="6"/>
        <v>Valid</v>
      </c>
    </row>
    <row r="442" spans="1:5" x14ac:dyDescent="0.25">
      <c r="A442" t="str">
        <f>Raw_Inventory!A442</f>
        <v>P1441</v>
      </c>
      <c r="B442" t="str">
        <f>IF(COUNTIF(Raw_Inventory!A:A,A442)&gt;1,"Duplicate","OK")</f>
        <v>OK</v>
      </c>
      <c r="C442" t="str">
        <f>IF(Raw_Inventory!E442-Raw_Inventory!F442&lt;0,"Error","OK")</f>
        <v>OK</v>
      </c>
      <c r="D442" t="str">
        <f>IF(Raw_Inventory!D442="","Missing","OK")</f>
        <v>OK</v>
      </c>
      <c r="E442" t="str">
        <f t="shared" si="6"/>
        <v>Valid</v>
      </c>
    </row>
    <row r="443" spans="1:5" x14ac:dyDescent="0.25">
      <c r="A443" t="str">
        <f>Raw_Inventory!A443</f>
        <v>P1442</v>
      </c>
      <c r="B443" t="str">
        <f>IF(COUNTIF(Raw_Inventory!A:A,A443)&gt;1,"Duplicate","OK")</f>
        <v>OK</v>
      </c>
      <c r="C443" t="str">
        <f>IF(Raw_Inventory!E443-Raw_Inventory!F443&lt;0,"Error","OK")</f>
        <v>Error</v>
      </c>
      <c r="D443" t="str">
        <f>IF(Raw_Inventory!D443="","Missing","OK")</f>
        <v>OK</v>
      </c>
      <c r="E443" t="str">
        <f t="shared" si="6"/>
        <v>Check Record</v>
      </c>
    </row>
    <row r="444" spans="1:5" x14ac:dyDescent="0.25">
      <c r="A444" t="str">
        <f>Raw_Inventory!A444</f>
        <v>P1443</v>
      </c>
      <c r="B444" t="str">
        <f>IF(COUNTIF(Raw_Inventory!A:A,A444)&gt;1,"Duplicate","OK")</f>
        <v>OK</v>
      </c>
      <c r="C444" t="str">
        <f>IF(Raw_Inventory!E444-Raw_Inventory!F444&lt;0,"Error","OK")</f>
        <v>Error</v>
      </c>
      <c r="D444" t="str">
        <f>IF(Raw_Inventory!D444="","Missing","OK")</f>
        <v>OK</v>
      </c>
      <c r="E444" t="str">
        <f t="shared" si="6"/>
        <v>Check Record</v>
      </c>
    </row>
    <row r="445" spans="1:5" x14ac:dyDescent="0.25">
      <c r="A445" t="str">
        <f>Raw_Inventory!A445</f>
        <v>P1444</v>
      </c>
      <c r="B445" t="str">
        <f>IF(COUNTIF(Raw_Inventory!A:A,A445)&gt;1,"Duplicate","OK")</f>
        <v>OK</v>
      </c>
      <c r="C445" t="str">
        <f>IF(Raw_Inventory!E445-Raw_Inventory!F445&lt;0,"Error","OK")</f>
        <v>OK</v>
      </c>
      <c r="D445" t="str">
        <f>IF(Raw_Inventory!D445="","Missing","OK")</f>
        <v>OK</v>
      </c>
      <c r="E445" t="str">
        <f t="shared" si="6"/>
        <v>Valid</v>
      </c>
    </row>
    <row r="446" spans="1:5" x14ac:dyDescent="0.25">
      <c r="A446" t="str">
        <f>Raw_Inventory!A446</f>
        <v>P1445</v>
      </c>
      <c r="B446" t="str">
        <f>IF(COUNTIF(Raw_Inventory!A:A,A446)&gt;1,"Duplicate","OK")</f>
        <v>OK</v>
      </c>
      <c r="C446" t="str">
        <f>IF(Raw_Inventory!E446-Raw_Inventory!F446&lt;0,"Error","OK")</f>
        <v>OK</v>
      </c>
      <c r="D446" t="str">
        <f>IF(Raw_Inventory!D446="","Missing","OK")</f>
        <v>OK</v>
      </c>
      <c r="E446" t="str">
        <f t="shared" si="6"/>
        <v>Valid</v>
      </c>
    </row>
    <row r="447" spans="1:5" x14ac:dyDescent="0.25">
      <c r="A447" t="str">
        <f>Raw_Inventory!A447</f>
        <v>P1446</v>
      </c>
      <c r="B447" t="str">
        <f>IF(COUNTIF(Raw_Inventory!A:A,A447)&gt;1,"Duplicate","OK")</f>
        <v>OK</v>
      </c>
      <c r="C447" t="str">
        <f>IF(Raw_Inventory!E447-Raw_Inventory!F447&lt;0,"Error","OK")</f>
        <v>OK</v>
      </c>
      <c r="D447" t="str">
        <f>IF(Raw_Inventory!D447="","Missing","OK")</f>
        <v>OK</v>
      </c>
      <c r="E447" t="str">
        <f t="shared" si="6"/>
        <v>Valid</v>
      </c>
    </row>
    <row r="448" spans="1:5" x14ac:dyDescent="0.25">
      <c r="A448" t="str">
        <f>Raw_Inventory!A448</f>
        <v>P1447</v>
      </c>
      <c r="B448" t="str">
        <f>IF(COUNTIF(Raw_Inventory!A:A,A448)&gt;1,"Duplicate","OK")</f>
        <v>OK</v>
      </c>
      <c r="C448" t="str">
        <f>IF(Raw_Inventory!E448-Raw_Inventory!F448&lt;0,"Error","OK")</f>
        <v>OK</v>
      </c>
      <c r="D448" t="str">
        <f>IF(Raw_Inventory!D448="","Missing","OK")</f>
        <v>OK</v>
      </c>
      <c r="E448" t="str">
        <f t="shared" si="6"/>
        <v>Valid</v>
      </c>
    </row>
    <row r="449" spans="1:5" x14ac:dyDescent="0.25">
      <c r="A449" t="str">
        <f>Raw_Inventory!A449</f>
        <v>P1448</v>
      </c>
      <c r="B449" t="str">
        <f>IF(COUNTIF(Raw_Inventory!A:A,A449)&gt;1,"Duplicate","OK")</f>
        <v>OK</v>
      </c>
      <c r="C449" t="str">
        <f>IF(Raw_Inventory!E449-Raw_Inventory!F449&lt;0,"Error","OK")</f>
        <v>Error</v>
      </c>
      <c r="D449" t="str">
        <f>IF(Raw_Inventory!D449="","Missing","OK")</f>
        <v>OK</v>
      </c>
      <c r="E449" t="str">
        <f t="shared" si="6"/>
        <v>Check Record</v>
      </c>
    </row>
    <row r="450" spans="1:5" x14ac:dyDescent="0.25">
      <c r="A450" t="str">
        <f>Raw_Inventory!A450</f>
        <v>P1449</v>
      </c>
      <c r="B450" t="str">
        <f>IF(COUNTIF(Raw_Inventory!A:A,A450)&gt;1,"Duplicate","OK")</f>
        <v>OK</v>
      </c>
      <c r="C450" t="str">
        <f>IF(Raw_Inventory!E450-Raw_Inventory!F450&lt;0,"Error","OK")</f>
        <v>Error</v>
      </c>
      <c r="D450" t="str">
        <f>IF(Raw_Inventory!D450="","Missing","OK")</f>
        <v>OK</v>
      </c>
      <c r="E450" t="str">
        <f t="shared" si="6"/>
        <v>Check Record</v>
      </c>
    </row>
    <row r="451" spans="1:5" x14ac:dyDescent="0.25">
      <c r="A451" t="str">
        <f>Raw_Inventory!A451</f>
        <v>P1450</v>
      </c>
      <c r="B451" t="str">
        <f>IF(COUNTIF(Raw_Inventory!A:A,A451)&gt;1,"Duplicate","OK")</f>
        <v>OK</v>
      </c>
      <c r="C451" t="str">
        <f>IF(Raw_Inventory!E451-Raw_Inventory!F451&lt;0,"Error","OK")</f>
        <v>OK</v>
      </c>
      <c r="D451" t="str">
        <f>IF(Raw_Inventory!D451="","Missing","OK")</f>
        <v>OK</v>
      </c>
      <c r="E451" t="str">
        <f t="shared" ref="E451:E501" si="7">IF(OR(B451="Duplicate",C451="Error",D451="Missing"),"Check Record","Valid")</f>
        <v>Valid</v>
      </c>
    </row>
    <row r="452" spans="1:5" x14ac:dyDescent="0.25">
      <c r="A452" t="str">
        <f>Raw_Inventory!A452</f>
        <v>P1451</v>
      </c>
      <c r="B452" t="str">
        <f>IF(COUNTIF(Raw_Inventory!A:A,A452)&gt;1,"Duplicate","OK")</f>
        <v>OK</v>
      </c>
      <c r="C452" t="str">
        <f>IF(Raw_Inventory!E452-Raw_Inventory!F452&lt;0,"Error","OK")</f>
        <v>OK</v>
      </c>
      <c r="D452" t="str">
        <f>IF(Raw_Inventory!D452="","Missing","OK")</f>
        <v>OK</v>
      </c>
      <c r="E452" t="str">
        <f t="shared" si="7"/>
        <v>Valid</v>
      </c>
    </row>
    <row r="453" spans="1:5" x14ac:dyDescent="0.25">
      <c r="A453" t="str">
        <f>Raw_Inventory!A453</f>
        <v>P1452</v>
      </c>
      <c r="B453" t="str">
        <f>IF(COUNTIF(Raw_Inventory!A:A,A453)&gt;1,"Duplicate","OK")</f>
        <v>OK</v>
      </c>
      <c r="C453" t="str">
        <f>IF(Raw_Inventory!E453-Raw_Inventory!F453&lt;0,"Error","OK")</f>
        <v>OK</v>
      </c>
      <c r="D453" t="str">
        <f>IF(Raw_Inventory!D453="","Missing","OK")</f>
        <v>OK</v>
      </c>
      <c r="E453" t="str">
        <f t="shared" si="7"/>
        <v>Valid</v>
      </c>
    </row>
    <row r="454" spans="1:5" x14ac:dyDescent="0.25">
      <c r="A454" t="str">
        <f>Raw_Inventory!A454</f>
        <v>P1453</v>
      </c>
      <c r="B454" t="str">
        <f>IF(COUNTIF(Raw_Inventory!A:A,A454)&gt;1,"Duplicate","OK")</f>
        <v>OK</v>
      </c>
      <c r="C454" t="str">
        <f>IF(Raw_Inventory!E454-Raw_Inventory!F454&lt;0,"Error","OK")</f>
        <v>Error</v>
      </c>
      <c r="D454" t="str">
        <f>IF(Raw_Inventory!D454="","Missing","OK")</f>
        <v>OK</v>
      </c>
      <c r="E454" t="str">
        <f t="shared" si="7"/>
        <v>Check Record</v>
      </c>
    </row>
    <row r="455" spans="1:5" x14ac:dyDescent="0.25">
      <c r="A455" t="str">
        <f>Raw_Inventory!A455</f>
        <v>P1454</v>
      </c>
      <c r="B455" t="str">
        <f>IF(COUNTIF(Raw_Inventory!A:A,A455)&gt;1,"Duplicate","OK")</f>
        <v>OK</v>
      </c>
      <c r="C455" t="str">
        <f>IF(Raw_Inventory!E455-Raw_Inventory!F455&lt;0,"Error","OK")</f>
        <v>Error</v>
      </c>
      <c r="D455" t="str">
        <f>IF(Raw_Inventory!D455="","Missing","OK")</f>
        <v>OK</v>
      </c>
      <c r="E455" t="str">
        <f t="shared" si="7"/>
        <v>Check Record</v>
      </c>
    </row>
    <row r="456" spans="1:5" x14ac:dyDescent="0.25">
      <c r="A456" t="str">
        <f>Raw_Inventory!A456</f>
        <v>P1455</v>
      </c>
      <c r="B456" t="str">
        <f>IF(COUNTIF(Raw_Inventory!A:A,A456)&gt;1,"Duplicate","OK")</f>
        <v>OK</v>
      </c>
      <c r="C456" t="str">
        <f>IF(Raw_Inventory!E456-Raw_Inventory!F456&lt;0,"Error","OK")</f>
        <v>Error</v>
      </c>
      <c r="D456" t="str">
        <f>IF(Raw_Inventory!D456="","Missing","OK")</f>
        <v>OK</v>
      </c>
      <c r="E456" t="str">
        <f t="shared" si="7"/>
        <v>Check Record</v>
      </c>
    </row>
    <row r="457" spans="1:5" x14ac:dyDescent="0.25">
      <c r="A457" t="str">
        <f>Raw_Inventory!A457</f>
        <v>P1456</v>
      </c>
      <c r="B457" t="str">
        <f>IF(COUNTIF(Raw_Inventory!A:A,A457)&gt;1,"Duplicate","OK")</f>
        <v>OK</v>
      </c>
      <c r="C457" t="str">
        <f>IF(Raw_Inventory!E457-Raw_Inventory!F457&lt;0,"Error","OK")</f>
        <v>OK</v>
      </c>
      <c r="D457" t="str">
        <f>IF(Raw_Inventory!D457="","Missing","OK")</f>
        <v>OK</v>
      </c>
      <c r="E457" t="str">
        <f t="shared" si="7"/>
        <v>Valid</v>
      </c>
    </row>
    <row r="458" spans="1:5" x14ac:dyDescent="0.25">
      <c r="A458" t="str">
        <f>Raw_Inventory!A458</f>
        <v>P1457</v>
      </c>
      <c r="B458" t="str">
        <f>IF(COUNTIF(Raw_Inventory!A:A,A458)&gt;1,"Duplicate","OK")</f>
        <v>OK</v>
      </c>
      <c r="C458" t="str">
        <f>IF(Raw_Inventory!E458-Raw_Inventory!F458&lt;0,"Error","OK")</f>
        <v>OK</v>
      </c>
      <c r="D458" t="str">
        <f>IF(Raw_Inventory!D458="","Missing","OK")</f>
        <v>OK</v>
      </c>
      <c r="E458" t="str">
        <f t="shared" si="7"/>
        <v>Valid</v>
      </c>
    </row>
    <row r="459" spans="1:5" x14ac:dyDescent="0.25">
      <c r="A459" t="str">
        <f>Raw_Inventory!A459</f>
        <v>P1458</v>
      </c>
      <c r="B459" t="str">
        <f>IF(COUNTIF(Raw_Inventory!A:A,A459)&gt;1,"Duplicate","OK")</f>
        <v>OK</v>
      </c>
      <c r="C459" t="str">
        <f>IF(Raw_Inventory!E459-Raw_Inventory!F459&lt;0,"Error","OK")</f>
        <v>OK</v>
      </c>
      <c r="D459" t="str">
        <f>IF(Raw_Inventory!D459="","Missing","OK")</f>
        <v>OK</v>
      </c>
      <c r="E459" t="str">
        <f t="shared" si="7"/>
        <v>Valid</v>
      </c>
    </row>
    <row r="460" spans="1:5" x14ac:dyDescent="0.25">
      <c r="A460" t="str">
        <f>Raw_Inventory!A460</f>
        <v>P1459</v>
      </c>
      <c r="B460" t="str">
        <f>IF(COUNTIF(Raw_Inventory!A:A,A460)&gt;1,"Duplicate","OK")</f>
        <v>OK</v>
      </c>
      <c r="C460" t="str">
        <f>IF(Raw_Inventory!E460-Raw_Inventory!F460&lt;0,"Error","OK")</f>
        <v>OK</v>
      </c>
      <c r="D460" t="str">
        <f>IF(Raw_Inventory!D460="","Missing","OK")</f>
        <v>OK</v>
      </c>
      <c r="E460" t="str">
        <f t="shared" si="7"/>
        <v>Valid</v>
      </c>
    </row>
    <row r="461" spans="1:5" x14ac:dyDescent="0.25">
      <c r="A461" t="str">
        <f>Raw_Inventory!A461</f>
        <v>P1460</v>
      </c>
      <c r="B461" t="str">
        <f>IF(COUNTIF(Raw_Inventory!A:A,A461)&gt;1,"Duplicate","OK")</f>
        <v>OK</v>
      </c>
      <c r="C461" t="str">
        <f>IF(Raw_Inventory!E461-Raw_Inventory!F461&lt;0,"Error","OK")</f>
        <v>OK</v>
      </c>
      <c r="D461" t="str">
        <f>IF(Raw_Inventory!D461="","Missing","OK")</f>
        <v>OK</v>
      </c>
      <c r="E461" t="str">
        <f t="shared" si="7"/>
        <v>Valid</v>
      </c>
    </row>
    <row r="462" spans="1:5" x14ac:dyDescent="0.25">
      <c r="A462" t="str">
        <f>Raw_Inventory!A462</f>
        <v>P1461</v>
      </c>
      <c r="B462" t="str">
        <f>IF(COUNTIF(Raw_Inventory!A:A,A462)&gt;1,"Duplicate","OK")</f>
        <v>OK</v>
      </c>
      <c r="C462" t="str">
        <f>IF(Raw_Inventory!E462-Raw_Inventory!F462&lt;0,"Error","OK")</f>
        <v>Error</v>
      </c>
      <c r="D462" t="str">
        <f>IF(Raw_Inventory!D462="","Missing","OK")</f>
        <v>OK</v>
      </c>
      <c r="E462" t="str">
        <f t="shared" si="7"/>
        <v>Check Record</v>
      </c>
    </row>
    <row r="463" spans="1:5" x14ac:dyDescent="0.25">
      <c r="A463" t="str">
        <f>Raw_Inventory!A463</f>
        <v>P1462</v>
      </c>
      <c r="B463" t="str">
        <f>IF(COUNTIF(Raw_Inventory!A:A,A463)&gt;1,"Duplicate","OK")</f>
        <v>OK</v>
      </c>
      <c r="C463" t="str">
        <f>IF(Raw_Inventory!E463-Raw_Inventory!F463&lt;0,"Error","OK")</f>
        <v>OK</v>
      </c>
      <c r="D463" t="str">
        <f>IF(Raw_Inventory!D463="","Missing","OK")</f>
        <v>OK</v>
      </c>
      <c r="E463" t="str">
        <f t="shared" si="7"/>
        <v>Valid</v>
      </c>
    </row>
    <row r="464" spans="1:5" x14ac:dyDescent="0.25">
      <c r="A464" t="str">
        <f>Raw_Inventory!A464</f>
        <v>P1463</v>
      </c>
      <c r="B464" t="str">
        <f>IF(COUNTIF(Raw_Inventory!A:A,A464)&gt;1,"Duplicate","OK")</f>
        <v>OK</v>
      </c>
      <c r="C464" t="str">
        <f>IF(Raw_Inventory!E464-Raw_Inventory!F464&lt;0,"Error","OK")</f>
        <v>OK</v>
      </c>
      <c r="D464" t="str">
        <f>IF(Raw_Inventory!D464="","Missing","OK")</f>
        <v>OK</v>
      </c>
      <c r="E464" t="str">
        <f t="shared" si="7"/>
        <v>Valid</v>
      </c>
    </row>
    <row r="465" spans="1:5" x14ac:dyDescent="0.25">
      <c r="A465" t="str">
        <f>Raw_Inventory!A465</f>
        <v>P1464</v>
      </c>
      <c r="B465" t="str">
        <f>IF(COUNTIF(Raw_Inventory!A:A,A465)&gt;1,"Duplicate","OK")</f>
        <v>OK</v>
      </c>
      <c r="C465" t="str">
        <f>IF(Raw_Inventory!E465-Raw_Inventory!F465&lt;0,"Error","OK")</f>
        <v>OK</v>
      </c>
      <c r="D465" t="str">
        <f>IF(Raw_Inventory!D465="","Missing","OK")</f>
        <v>OK</v>
      </c>
      <c r="E465" t="str">
        <f t="shared" si="7"/>
        <v>Valid</v>
      </c>
    </row>
    <row r="466" spans="1:5" x14ac:dyDescent="0.25">
      <c r="A466" t="str">
        <f>Raw_Inventory!A466</f>
        <v>P1465</v>
      </c>
      <c r="B466" t="str">
        <f>IF(COUNTIF(Raw_Inventory!A:A,A466)&gt;1,"Duplicate","OK")</f>
        <v>OK</v>
      </c>
      <c r="C466" t="str">
        <f>IF(Raw_Inventory!E466-Raw_Inventory!F466&lt;0,"Error","OK")</f>
        <v>OK</v>
      </c>
      <c r="D466" t="str">
        <f>IF(Raw_Inventory!D466="","Missing","OK")</f>
        <v>OK</v>
      </c>
      <c r="E466" t="str">
        <f t="shared" si="7"/>
        <v>Valid</v>
      </c>
    </row>
    <row r="467" spans="1:5" x14ac:dyDescent="0.25">
      <c r="A467" t="str">
        <f>Raw_Inventory!A467</f>
        <v>P1466</v>
      </c>
      <c r="B467" t="str">
        <f>IF(COUNTIF(Raw_Inventory!A:A,A467)&gt;1,"Duplicate","OK")</f>
        <v>OK</v>
      </c>
      <c r="C467" t="str">
        <f>IF(Raw_Inventory!E467-Raw_Inventory!F467&lt;0,"Error","OK")</f>
        <v>Error</v>
      </c>
      <c r="D467" t="str">
        <f>IF(Raw_Inventory!D467="","Missing","OK")</f>
        <v>OK</v>
      </c>
      <c r="E467" t="str">
        <f t="shared" si="7"/>
        <v>Check Record</v>
      </c>
    </row>
    <row r="468" spans="1:5" x14ac:dyDescent="0.25">
      <c r="A468" t="str">
        <f>Raw_Inventory!A468</f>
        <v>P1467</v>
      </c>
      <c r="B468" t="str">
        <f>IF(COUNTIF(Raw_Inventory!A:A,A468)&gt;1,"Duplicate","OK")</f>
        <v>OK</v>
      </c>
      <c r="C468" t="str">
        <f>IF(Raw_Inventory!E468-Raw_Inventory!F468&lt;0,"Error","OK")</f>
        <v>Error</v>
      </c>
      <c r="D468" t="str">
        <f>IF(Raw_Inventory!D468="","Missing","OK")</f>
        <v>OK</v>
      </c>
      <c r="E468" t="str">
        <f t="shared" si="7"/>
        <v>Check Record</v>
      </c>
    </row>
    <row r="469" spans="1:5" x14ac:dyDescent="0.25">
      <c r="A469" t="str">
        <f>Raw_Inventory!A469</f>
        <v>P1468</v>
      </c>
      <c r="B469" t="str">
        <f>IF(COUNTIF(Raw_Inventory!A:A,A469)&gt;1,"Duplicate","OK")</f>
        <v>OK</v>
      </c>
      <c r="C469" t="str">
        <f>IF(Raw_Inventory!E469-Raw_Inventory!F469&lt;0,"Error","OK")</f>
        <v>OK</v>
      </c>
      <c r="D469" t="str">
        <f>IF(Raw_Inventory!D469="","Missing","OK")</f>
        <v>OK</v>
      </c>
      <c r="E469" t="str">
        <f t="shared" si="7"/>
        <v>Valid</v>
      </c>
    </row>
    <row r="470" spans="1:5" x14ac:dyDescent="0.25">
      <c r="A470" t="str">
        <f>Raw_Inventory!A470</f>
        <v>P1469</v>
      </c>
      <c r="B470" t="str">
        <f>IF(COUNTIF(Raw_Inventory!A:A,A470)&gt;1,"Duplicate","OK")</f>
        <v>OK</v>
      </c>
      <c r="C470" t="str">
        <f>IF(Raw_Inventory!E470-Raw_Inventory!F470&lt;0,"Error","OK")</f>
        <v>OK</v>
      </c>
      <c r="D470" t="str">
        <f>IF(Raw_Inventory!D470="","Missing","OK")</f>
        <v>OK</v>
      </c>
      <c r="E470" t="str">
        <f t="shared" si="7"/>
        <v>Valid</v>
      </c>
    </row>
    <row r="471" spans="1:5" x14ac:dyDescent="0.25">
      <c r="A471" t="str">
        <f>Raw_Inventory!A471</f>
        <v>P1470</v>
      </c>
      <c r="B471" t="str">
        <f>IF(COUNTIF(Raw_Inventory!A:A,A471)&gt;1,"Duplicate","OK")</f>
        <v>OK</v>
      </c>
      <c r="C471" t="str">
        <f>IF(Raw_Inventory!E471-Raw_Inventory!F471&lt;0,"Error","OK")</f>
        <v>OK</v>
      </c>
      <c r="D471" t="str">
        <f>IF(Raw_Inventory!D471="","Missing","OK")</f>
        <v>OK</v>
      </c>
      <c r="E471" t="str">
        <f t="shared" si="7"/>
        <v>Valid</v>
      </c>
    </row>
    <row r="472" spans="1:5" x14ac:dyDescent="0.25">
      <c r="A472" t="str">
        <f>Raw_Inventory!A472</f>
        <v>P1471</v>
      </c>
      <c r="B472" t="str">
        <f>IF(COUNTIF(Raw_Inventory!A:A,A472)&gt;1,"Duplicate","OK")</f>
        <v>OK</v>
      </c>
      <c r="C472" t="str">
        <f>IF(Raw_Inventory!E472-Raw_Inventory!F472&lt;0,"Error","OK")</f>
        <v>OK</v>
      </c>
      <c r="D472" t="str">
        <f>IF(Raw_Inventory!D472="","Missing","OK")</f>
        <v>OK</v>
      </c>
      <c r="E472" t="str">
        <f t="shared" si="7"/>
        <v>Valid</v>
      </c>
    </row>
    <row r="473" spans="1:5" x14ac:dyDescent="0.25">
      <c r="A473" t="str">
        <f>Raw_Inventory!A473</f>
        <v>P1472</v>
      </c>
      <c r="B473" t="str">
        <f>IF(COUNTIF(Raw_Inventory!A:A,A473)&gt;1,"Duplicate","OK")</f>
        <v>OK</v>
      </c>
      <c r="C473" t="str">
        <f>IF(Raw_Inventory!E473-Raw_Inventory!F473&lt;0,"Error","OK")</f>
        <v>OK</v>
      </c>
      <c r="D473" t="str">
        <f>IF(Raw_Inventory!D473="","Missing","OK")</f>
        <v>OK</v>
      </c>
      <c r="E473" t="str">
        <f t="shared" si="7"/>
        <v>Valid</v>
      </c>
    </row>
    <row r="474" spans="1:5" x14ac:dyDescent="0.25">
      <c r="A474" t="str">
        <f>Raw_Inventory!A474</f>
        <v>P1473</v>
      </c>
      <c r="B474" t="str">
        <f>IF(COUNTIF(Raw_Inventory!A:A,A474)&gt;1,"Duplicate","OK")</f>
        <v>OK</v>
      </c>
      <c r="C474" t="str">
        <f>IF(Raw_Inventory!E474-Raw_Inventory!F474&lt;0,"Error","OK")</f>
        <v>OK</v>
      </c>
      <c r="D474" t="str">
        <f>IF(Raw_Inventory!D474="","Missing","OK")</f>
        <v>OK</v>
      </c>
      <c r="E474" t="str">
        <f t="shared" si="7"/>
        <v>Valid</v>
      </c>
    </row>
    <row r="475" spans="1:5" x14ac:dyDescent="0.25">
      <c r="A475" t="str">
        <f>Raw_Inventory!A475</f>
        <v>P1474</v>
      </c>
      <c r="B475" t="str">
        <f>IF(COUNTIF(Raw_Inventory!A:A,A475)&gt;1,"Duplicate","OK")</f>
        <v>OK</v>
      </c>
      <c r="C475" t="str">
        <f>IF(Raw_Inventory!E475-Raw_Inventory!F475&lt;0,"Error","OK")</f>
        <v>OK</v>
      </c>
      <c r="D475" t="str">
        <f>IF(Raw_Inventory!D475="","Missing","OK")</f>
        <v>OK</v>
      </c>
      <c r="E475" t="str">
        <f t="shared" si="7"/>
        <v>Valid</v>
      </c>
    </row>
    <row r="476" spans="1:5" x14ac:dyDescent="0.25">
      <c r="A476" t="str">
        <f>Raw_Inventory!A476</f>
        <v>P1475</v>
      </c>
      <c r="B476" t="str">
        <f>IF(COUNTIF(Raw_Inventory!A:A,A476)&gt;1,"Duplicate","OK")</f>
        <v>OK</v>
      </c>
      <c r="C476" t="str">
        <f>IF(Raw_Inventory!E476-Raw_Inventory!F476&lt;0,"Error","OK")</f>
        <v>OK</v>
      </c>
      <c r="D476" t="str">
        <f>IF(Raw_Inventory!D476="","Missing","OK")</f>
        <v>OK</v>
      </c>
      <c r="E476" t="str">
        <f t="shared" si="7"/>
        <v>Valid</v>
      </c>
    </row>
    <row r="477" spans="1:5" x14ac:dyDescent="0.25">
      <c r="A477" t="str">
        <f>Raw_Inventory!A477</f>
        <v>P1476</v>
      </c>
      <c r="B477" t="str">
        <f>IF(COUNTIF(Raw_Inventory!A:A,A477)&gt;1,"Duplicate","OK")</f>
        <v>OK</v>
      </c>
      <c r="C477" t="str">
        <f>IF(Raw_Inventory!E477-Raw_Inventory!F477&lt;0,"Error","OK")</f>
        <v>OK</v>
      </c>
      <c r="D477" t="str">
        <f>IF(Raw_Inventory!D477="","Missing","OK")</f>
        <v>OK</v>
      </c>
      <c r="E477" t="str">
        <f t="shared" si="7"/>
        <v>Valid</v>
      </c>
    </row>
    <row r="478" spans="1:5" x14ac:dyDescent="0.25">
      <c r="A478" t="str">
        <f>Raw_Inventory!A478</f>
        <v>P1477</v>
      </c>
      <c r="B478" t="str">
        <f>IF(COUNTIF(Raw_Inventory!A:A,A478)&gt;1,"Duplicate","OK")</f>
        <v>OK</v>
      </c>
      <c r="C478" t="str">
        <f>IF(Raw_Inventory!E478-Raw_Inventory!F478&lt;0,"Error","OK")</f>
        <v>OK</v>
      </c>
      <c r="D478" t="str">
        <f>IF(Raw_Inventory!D478="","Missing","OK")</f>
        <v>OK</v>
      </c>
      <c r="E478" t="str">
        <f t="shared" si="7"/>
        <v>Valid</v>
      </c>
    </row>
    <row r="479" spans="1:5" x14ac:dyDescent="0.25">
      <c r="A479" t="str">
        <f>Raw_Inventory!A479</f>
        <v>P1478</v>
      </c>
      <c r="B479" t="str">
        <f>IF(COUNTIF(Raw_Inventory!A:A,A479)&gt;1,"Duplicate","OK")</f>
        <v>OK</v>
      </c>
      <c r="C479" t="str">
        <f>IF(Raw_Inventory!E479-Raw_Inventory!F479&lt;0,"Error","OK")</f>
        <v>OK</v>
      </c>
      <c r="D479" t="str">
        <f>IF(Raw_Inventory!D479="","Missing","OK")</f>
        <v>OK</v>
      </c>
      <c r="E479" t="str">
        <f t="shared" si="7"/>
        <v>Valid</v>
      </c>
    </row>
    <row r="480" spans="1:5" x14ac:dyDescent="0.25">
      <c r="A480" t="str">
        <f>Raw_Inventory!A480</f>
        <v>P1479</v>
      </c>
      <c r="B480" t="str">
        <f>IF(COUNTIF(Raw_Inventory!A:A,A480)&gt;1,"Duplicate","OK")</f>
        <v>OK</v>
      </c>
      <c r="C480" t="str">
        <f>IF(Raw_Inventory!E480-Raw_Inventory!F480&lt;0,"Error","OK")</f>
        <v>OK</v>
      </c>
      <c r="D480" t="str">
        <f>IF(Raw_Inventory!D480="","Missing","OK")</f>
        <v>OK</v>
      </c>
      <c r="E480" t="str">
        <f t="shared" si="7"/>
        <v>Valid</v>
      </c>
    </row>
    <row r="481" spans="1:5" x14ac:dyDescent="0.25">
      <c r="A481" t="str">
        <f>Raw_Inventory!A481</f>
        <v>P1480</v>
      </c>
      <c r="B481" t="str">
        <f>IF(COUNTIF(Raw_Inventory!A:A,A481)&gt;1,"Duplicate","OK")</f>
        <v>OK</v>
      </c>
      <c r="C481" t="str">
        <f>IF(Raw_Inventory!E481-Raw_Inventory!F481&lt;0,"Error","OK")</f>
        <v>OK</v>
      </c>
      <c r="D481" t="str">
        <f>IF(Raw_Inventory!D481="","Missing","OK")</f>
        <v>OK</v>
      </c>
      <c r="E481" t="str">
        <f t="shared" si="7"/>
        <v>Valid</v>
      </c>
    </row>
    <row r="482" spans="1:5" x14ac:dyDescent="0.25">
      <c r="A482" t="str">
        <f>Raw_Inventory!A482</f>
        <v>P1481</v>
      </c>
      <c r="B482" t="str">
        <f>IF(COUNTIF(Raw_Inventory!A:A,A482)&gt;1,"Duplicate","OK")</f>
        <v>OK</v>
      </c>
      <c r="C482" t="str">
        <f>IF(Raw_Inventory!E482-Raw_Inventory!F482&lt;0,"Error","OK")</f>
        <v>Error</v>
      </c>
      <c r="D482" t="str">
        <f>IF(Raw_Inventory!D482="","Missing","OK")</f>
        <v>OK</v>
      </c>
      <c r="E482" t="str">
        <f t="shared" si="7"/>
        <v>Check Record</v>
      </c>
    </row>
    <row r="483" spans="1:5" x14ac:dyDescent="0.25">
      <c r="A483" t="str">
        <f>Raw_Inventory!A483</f>
        <v>P1482</v>
      </c>
      <c r="B483" t="str">
        <f>IF(COUNTIF(Raw_Inventory!A:A,A483)&gt;1,"Duplicate","OK")</f>
        <v>OK</v>
      </c>
      <c r="C483" t="str">
        <f>IF(Raw_Inventory!E483-Raw_Inventory!F483&lt;0,"Error","OK")</f>
        <v>Error</v>
      </c>
      <c r="D483" t="str">
        <f>IF(Raw_Inventory!D483="","Missing","OK")</f>
        <v>OK</v>
      </c>
      <c r="E483" t="str">
        <f t="shared" si="7"/>
        <v>Check Record</v>
      </c>
    </row>
    <row r="484" spans="1:5" x14ac:dyDescent="0.25">
      <c r="A484" t="str">
        <f>Raw_Inventory!A484</f>
        <v>P1483</v>
      </c>
      <c r="B484" t="str">
        <f>IF(COUNTIF(Raw_Inventory!A:A,A484)&gt;1,"Duplicate","OK")</f>
        <v>OK</v>
      </c>
      <c r="C484" t="str">
        <f>IF(Raw_Inventory!E484-Raw_Inventory!F484&lt;0,"Error","OK")</f>
        <v>OK</v>
      </c>
      <c r="D484" t="str">
        <f>IF(Raw_Inventory!D484="","Missing","OK")</f>
        <v>OK</v>
      </c>
      <c r="E484" t="str">
        <f t="shared" si="7"/>
        <v>Valid</v>
      </c>
    </row>
    <row r="485" spans="1:5" x14ac:dyDescent="0.25">
      <c r="A485" t="str">
        <f>Raw_Inventory!A485</f>
        <v>P1484</v>
      </c>
      <c r="B485" t="str">
        <f>IF(COUNTIF(Raw_Inventory!A:A,A485)&gt;1,"Duplicate","OK")</f>
        <v>OK</v>
      </c>
      <c r="C485" t="str">
        <f>IF(Raw_Inventory!E485-Raw_Inventory!F485&lt;0,"Error","OK")</f>
        <v>Error</v>
      </c>
      <c r="D485" t="str">
        <f>IF(Raw_Inventory!D485="","Missing","OK")</f>
        <v>OK</v>
      </c>
      <c r="E485" t="str">
        <f t="shared" si="7"/>
        <v>Check Record</v>
      </c>
    </row>
    <row r="486" spans="1:5" x14ac:dyDescent="0.25">
      <c r="A486" t="str">
        <f>Raw_Inventory!A486</f>
        <v>P1485</v>
      </c>
      <c r="B486" t="str">
        <f>IF(COUNTIF(Raw_Inventory!A:A,A486)&gt;1,"Duplicate","OK")</f>
        <v>OK</v>
      </c>
      <c r="C486" t="str">
        <f>IF(Raw_Inventory!E486-Raw_Inventory!F486&lt;0,"Error","OK")</f>
        <v>OK</v>
      </c>
      <c r="D486" t="str">
        <f>IF(Raw_Inventory!D486="","Missing","OK")</f>
        <v>OK</v>
      </c>
      <c r="E486" t="str">
        <f t="shared" si="7"/>
        <v>Valid</v>
      </c>
    </row>
    <row r="487" spans="1:5" x14ac:dyDescent="0.25">
      <c r="A487" t="str">
        <f>Raw_Inventory!A487</f>
        <v>P1486</v>
      </c>
      <c r="B487" t="str">
        <f>IF(COUNTIF(Raw_Inventory!A:A,A487)&gt;1,"Duplicate","OK")</f>
        <v>OK</v>
      </c>
      <c r="C487" t="str">
        <f>IF(Raw_Inventory!E487-Raw_Inventory!F487&lt;0,"Error","OK")</f>
        <v>OK</v>
      </c>
      <c r="D487" t="str">
        <f>IF(Raw_Inventory!D487="","Missing","OK")</f>
        <v>OK</v>
      </c>
      <c r="E487" t="str">
        <f t="shared" si="7"/>
        <v>Valid</v>
      </c>
    </row>
    <row r="488" spans="1:5" x14ac:dyDescent="0.25">
      <c r="A488" t="str">
        <f>Raw_Inventory!A488</f>
        <v>P1487</v>
      </c>
      <c r="B488" t="str">
        <f>IF(COUNTIF(Raw_Inventory!A:A,A488)&gt;1,"Duplicate","OK")</f>
        <v>OK</v>
      </c>
      <c r="C488" t="str">
        <f>IF(Raw_Inventory!E488-Raw_Inventory!F488&lt;0,"Error","OK")</f>
        <v>Error</v>
      </c>
      <c r="D488" t="str">
        <f>IF(Raw_Inventory!D488="","Missing","OK")</f>
        <v>OK</v>
      </c>
      <c r="E488" t="str">
        <f t="shared" si="7"/>
        <v>Check Record</v>
      </c>
    </row>
    <row r="489" spans="1:5" x14ac:dyDescent="0.25">
      <c r="A489" t="str">
        <f>Raw_Inventory!A489</f>
        <v>P1488</v>
      </c>
      <c r="B489" t="str">
        <f>IF(COUNTIF(Raw_Inventory!A:A,A489)&gt;1,"Duplicate","OK")</f>
        <v>OK</v>
      </c>
      <c r="C489" t="str">
        <f>IF(Raw_Inventory!E489-Raw_Inventory!F489&lt;0,"Error","OK")</f>
        <v>Error</v>
      </c>
      <c r="D489" t="str">
        <f>IF(Raw_Inventory!D489="","Missing","OK")</f>
        <v>OK</v>
      </c>
      <c r="E489" t="str">
        <f t="shared" si="7"/>
        <v>Check Record</v>
      </c>
    </row>
    <row r="490" spans="1:5" x14ac:dyDescent="0.25">
      <c r="A490" t="str">
        <f>Raw_Inventory!A490</f>
        <v>P1489</v>
      </c>
      <c r="B490" t="str">
        <f>IF(COUNTIF(Raw_Inventory!A:A,A490)&gt;1,"Duplicate","OK")</f>
        <v>OK</v>
      </c>
      <c r="C490" t="str">
        <f>IF(Raw_Inventory!E490-Raw_Inventory!F490&lt;0,"Error","OK")</f>
        <v>OK</v>
      </c>
      <c r="D490" t="str">
        <f>IF(Raw_Inventory!D490="","Missing","OK")</f>
        <v>OK</v>
      </c>
      <c r="E490" t="str">
        <f t="shared" si="7"/>
        <v>Valid</v>
      </c>
    </row>
    <row r="491" spans="1:5" x14ac:dyDescent="0.25">
      <c r="A491" t="str">
        <f>Raw_Inventory!A491</f>
        <v>P1490</v>
      </c>
      <c r="B491" t="str">
        <f>IF(COUNTIF(Raw_Inventory!A:A,A491)&gt;1,"Duplicate","OK")</f>
        <v>OK</v>
      </c>
      <c r="C491" t="str">
        <f>IF(Raw_Inventory!E491-Raw_Inventory!F491&lt;0,"Error","OK")</f>
        <v>OK</v>
      </c>
      <c r="D491" t="str">
        <f>IF(Raw_Inventory!D491="","Missing","OK")</f>
        <v>OK</v>
      </c>
      <c r="E491" t="str">
        <f t="shared" si="7"/>
        <v>Valid</v>
      </c>
    </row>
    <row r="492" spans="1:5" x14ac:dyDescent="0.25">
      <c r="A492" t="str">
        <f>Raw_Inventory!A492</f>
        <v>P1491</v>
      </c>
      <c r="B492" t="str">
        <f>IF(COUNTIF(Raw_Inventory!A:A,A492)&gt;1,"Duplicate","OK")</f>
        <v>OK</v>
      </c>
      <c r="C492" t="str">
        <f>IF(Raw_Inventory!E492-Raw_Inventory!F492&lt;0,"Error","OK")</f>
        <v>OK</v>
      </c>
      <c r="D492" t="str">
        <f>IF(Raw_Inventory!D492="","Missing","OK")</f>
        <v>OK</v>
      </c>
      <c r="E492" t="str">
        <f t="shared" si="7"/>
        <v>Valid</v>
      </c>
    </row>
    <row r="493" spans="1:5" x14ac:dyDescent="0.25">
      <c r="A493" t="str">
        <f>Raw_Inventory!A493</f>
        <v>P1492</v>
      </c>
      <c r="B493" t="str">
        <f>IF(COUNTIF(Raw_Inventory!A:A,A493)&gt;1,"Duplicate","OK")</f>
        <v>OK</v>
      </c>
      <c r="C493" t="str">
        <f>IF(Raw_Inventory!E493-Raw_Inventory!F493&lt;0,"Error","OK")</f>
        <v>OK</v>
      </c>
      <c r="D493" t="str">
        <f>IF(Raw_Inventory!D493="","Missing","OK")</f>
        <v>OK</v>
      </c>
      <c r="E493" t="str">
        <f t="shared" si="7"/>
        <v>Valid</v>
      </c>
    </row>
    <row r="494" spans="1:5" x14ac:dyDescent="0.25">
      <c r="A494" t="str">
        <f>Raw_Inventory!A494</f>
        <v>P1493</v>
      </c>
      <c r="B494" t="str">
        <f>IF(COUNTIF(Raw_Inventory!A:A,A494)&gt;1,"Duplicate","OK")</f>
        <v>OK</v>
      </c>
      <c r="C494" t="str">
        <f>IF(Raw_Inventory!E494-Raw_Inventory!F494&lt;0,"Error","OK")</f>
        <v>Error</v>
      </c>
      <c r="D494" t="str">
        <f>IF(Raw_Inventory!D494="","Missing","OK")</f>
        <v>OK</v>
      </c>
      <c r="E494" t="str">
        <f t="shared" si="7"/>
        <v>Check Record</v>
      </c>
    </row>
    <row r="495" spans="1:5" x14ac:dyDescent="0.25">
      <c r="A495" t="str">
        <f>Raw_Inventory!A495</f>
        <v>P1494</v>
      </c>
      <c r="B495" t="str">
        <f>IF(COUNTIF(Raw_Inventory!A:A,A495)&gt;1,"Duplicate","OK")</f>
        <v>OK</v>
      </c>
      <c r="C495" t="str">
        <f>IF(Raw_Inventory!E495-Raw_Inventory!F495&lt;0,"Error","OK")</f>
        <v>OK</v>
      </c>
      <c r="D495" t="str">
        <f>IF(Raw_Inventory!D495="","Missing","OK")</f>
        <v>OK</v>
      </c>
      <c r="E495" t="str">
        <f t="shared" si="7"/>
        <v>Valid</v>
      </c>
    </row>
    <row r="496" spans="1:5" x14ac:dyDescent="0.25">
      <c r="A496" t="str">
        <f>Raw_Inventory!A496</f>
        <v>P1495</v>
      </c>
      <c r="B496" t="str">
        <f>IF(COUNTIF(Raw_Inventory!A:A,A496)&gt;1,"Duplicate","OK")</f>
        <v>OK</v>
      </c>
      <c r="C496" t="str">
        <f>IF(Raw_Inventory!E496-Raw_Inventory!F496&lt;0,"Error","OK")</f>
        <v>OK</v>
      </c>
      <c r="D496" t="str">
        <f>IF(Raw_Inventory!D496="","Missing","OK")</f>
        <v>OK</v>
      </c>
      <c r="E496" t="str">
        <f t="shared" si="7"/>
        <v>Valid</v>
      </c>
    </row>
    <row r="497" spans="1:5" x14ac:dyDescent="0.25">
      <c r="A497" t="str">
        <f>Raw_Inventory!A497</f>
        <v>P1496</v>
      </c>
      <c r="B497" t="str">
        <f>IF(COUNTIF(Raw_Inventory!A:A,A497)&gt;1,"Duplicate","OK")</f>
        <v>OK</v>
      </c>
      <c r="C497" t="str">
        <f>IF(Raw_Inventory!E497-Raw_Inventory!F497&lt;0,"Error","OK")</f>
        <v>OK</v>
      </c>
      <c r="D497" t="str">
        <f>IF(Raw_Inventory!D497="","Missing","OK")</f>
        <v>OK</v>
      </c>
      <c r="E497" t="str">
        <f t="shared" si="7"/>
        <v>Valid</v>
      </c>
    </row>
    <row r="498" spans="1:5" x14ac:dyDescent="0.25">
      <c r="A498" t="str">
        <f>Raw_Inventory!A498</f>
        <v>P1497</v>
      </c>
      <c r="B498" t="str">
        <f>IF(COUNTIF(Raw_Inventory!A:A,A498)&gt;1,"Duplicate","OK")</f>
        <v>OK</v>
      </c>
      <c r="C498" t="str">
        <f>IF(Raw_Inventory!E498-Raw_Inventory!F498&lt;0,"Error","OK")</f>
        <v>OK</v>
      </c>
      <c r="D498" t="str">
        <f>IF(Raw_Inventory!D498="","Missing","OK")</f>
        <v>OK</v>
      </c>
      <c r="E498" t="str">
        <f t="shared" si="7"/>
        <v>Valid</v>
      </c>
    </row>
    <row r="499" spans="1:5" x14ac:dyDescent="0.25">
      <c r="A499" t="str">
        <f>Raw_Inventory!A499</f>
        <v>P1498</v>
      </c>
      <c r="B499" t="str">
        <f>IF(COUNTIF(Raw_Inventory!A:A,A499)&gt;1,"Duplicate","OK")</f>
        <v>OK</v>
      </c>
      <c r="C499" t="str">
        <f>IF(Raw_Inventory!E499-Raw_Inventory!F499&lt;0,"Error","OK")</f>
        <v>Error</v>
      </c>
      <c r="D499" t="str">
        <f>IF(Raw_Inventory!D499="","Missing","OK")</f>
        <v>OK</v>
      </c>
      <c r="E499" t="str">
        <f t="shared" si="7"/>
        <v>Check Record</v>
      </c>
    </row>
    <row r="500" spans="1:5" x14ac:dyDescent="0.25">
      <c r="A500" t="str">
        <f>Raw_Inventory!A500</f>
        <v>P1499</v>
      </c>
      <c r="B500" t="str">
        <f>IF(COUNTIF(Raw_Inventory!A:A,A500)&gt;1,"Duplicate","OK")</f>
        <v>OK</v>
      </c>
      <c r="C500" t="str">
        <f>IF(Raw_Inventory!E500-Raw_Inventory!F500&lt;0,"Error","OK")</f>
        <v>Error</v>
      </c>
      <c r="D500" t="str">
        <f>IF(Raw_Inventory!D500="","Missing","OK")</f>
        <v>OK</v>
      </c>
      <c r="E500" t="str">
        <f t="shared" si="7"/>
        <v>Check Record</v>
      </c>
    </row>
    <row r="501" spans="1:5" x14ac:dyDescent="0.25">
      <c r="A501" t="str">
        <f>Raw_Inventory!A501</f>
        <v>P1500</v>
      </c>
      <c r="B501" t="str">
        <f>IF(COUNTIF(Raw_Inventory!A:A,A501)&gt;1,"Duplicate","OK")</f>
        <v>OK</v>
      </c>
      <c r="C501" t="str">
        <f>IF(Raw_Inventory!E501-Raw_Inventory!F501&lt;0,"Error","OK")</f>
        <v>OK</v>
      </c>
      <c r="D501" t="str">
        <f>IF(Raw_Inventory!D501="","Missing","OK")</f>
        <v>OK</v>
      </c>
      <c r="E501" t="str">
        <f t="shared" si="7"/>
        <v>Valid</v>
      </c>
    </row>
  </sheetData>
  <conditionalFormatting sqref="E1:E1048576">
    <cfRule type="cellIs" dxfId="0" priority="1" operator="equal">
      <formula>"Check Record"</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84940-DB4D-4A31-942F-2E546A5AD8E6}">
  <dimension ref="A1:I47"/>
  <sheetViews>
    <sheetView workbookViewId="0">
      <selection activeCell="G1" sqref="G1"/>
    </sheetView>
  </sheetViews>
  <sheetFormatPr defaultRowHeight="15" x14ac:dyDescent="0.25"/>
  <cols>
    <col min="1" max="1" width="12.42578125" bestFit="1" customWidth="1"/>
    <col min="2" max="2" width="16" bestFit="1" customWidth="1"/>
    <col min="3" max="3" width="10.7109375" bestFit="1" customWidth="1"/>
    <col min="4" max="4" width="10.140625" bestFit="1" customWidth="1"/>
    <col min="5" max="5" width="11.7109375" bestFit="1" customWidth="1"/>
    <col min="6" max="6" width="12" bestFit="1" customWidth="1"/>
    <col min="7" max="7" width="15.140625" bestFit="1" customWidth="1"/>
    <col min="8" max="8" width="13.5703125" bestFit="1" customWidth="1"/>
    <col min="9" max="9" width="13.85546875" bestFit="1" customWidth="1"/>
  </cols>
  <sheetData>
    <row r="1" spans="1:9" x14ac:dyDescent="0.25">
      <c r="A1" s="10" t="s">
        <v>826</v>
      </c>
    </row>
    <row r="3" spans="1:9" x14ac:dyDescent="0.25">
      <c r="A3" t="s">
        <v>0</v>
      </c>
      <c r="B3" t="s">
        <v>1</v>
      </c>
      <c r="C3" t="s">
        <v>3</v>
      </c>
      <c r="D3" t="s">
        <v>4</v>
      </c>
      <c r="E3" t="s">
        <v>5</v>
      </c>
      <c r="F3" t="s">
        <v>6</v>
      </c>
      <c r="G3" t="s">
        <v>19</v>
      </c>
      <c r="H3" t="s">
        <v>20</v>
      </c>
      <c r="I3" t="s">
        <v>21</v>
      </c>
    </row>
    <row r="4" spans="1:9" x14ac:dyDescent="0.25">
      <c r="A4" t="s">
        <v>814</v>
      </c>
      <c r="B4" t="s">
        <v>96</v>
      </c>
      <c r="C4" t="s">
        <v>18</v>
      </c>
      <c r="D4">
        <v>86</v>
      </c>
      <c r="E4">
        <v>39</v>
      </c>
      <c r="F4">
        <v>8000</v>
      </c>
      <c r="G4">
        <v>47</v>
      </c>
      <c r="H4">
        <v>376000</v>
      </c>
      <c r="I4" t="s">
        <v>824</v>
      </c>
    </row>
    <row r="5" spans="1:9" x14ac:dyDescent="0.25">
      <c r="A5" t="s">
        <v>807</v>
      </c>
      <c r="B5" t="s">
        <v>96</v>
      </c>
      <c r="C5" t="s">
        <v>16</v>
      </c>
      <c r="D5">
        <v>192</v>
      </c>
      <c r="E5">
        <v>99</v>
      </c>
      <c r="F5">
        <v>500</v>
      </c>
      <c r="G5">
        <v>93</v>
      </c>
      <c r="H5">
        <v>46500</v>
      </c>
      <c r="I5" t="s">
        <v>824</v>
      </c>
    </row>
    <row r="6" spans="1:9" x14ac:dyDescent="0.25">
      <c r="A6" t="s">
        <v>773</v>
      </c>
      <c r="B6" t="s">
        <v>96</v>
      </c>
      <c r="C6" t="s">
        <v>16</v>
      </c>
      <c r="D6">
        <v>155</v>
      </c>
      <c r="E6">
        <v>101</v>
      </c>
      <c r="F6">
        <v>8000</v>
      </c>
      <c r="G6">
        <v>54</v>
      </c>
      <c r="H6">
        <v>432000</v>
      </c>
      <c r="I6" t="s">
        <v>824</v>
      </c>
    </row>
    <row r="7" spans="1:9" x14ac:dyDescent="0.25">
      <c r="A7" t="s">
        <v>752</v>
      </c>
      <c r="B7" t="s">
        <v>96</v>
      </c>
      <c r="C7" t="s">
        <v>46</v>
      </c>
      <c r="D7">
        <v>158</v>
      </c>
      <c r="E7">
        <v>50</v>
      </c>
      <c r="F7">
        <v>800</v>
      </c>
      <c r="G7">
        <v>108</v>
      </c>
      <c r="H7">
        <v>86400</v>
      </c>
      <c r="I7" t="s">
        <v>824</v>
      </c>
    </row>
    <row r="8" spans="1:9" x14ac:dyDescent="0.25">
      <c r="A8" t="s">
        <v>741</v>
      </c>
      <c r="B8" t="s">
        <v>96</v>
      </c>
      <c r="C8" t="s">
        <v>14</v>
      </c>
      <c r="D8">
        <v>56</v>
      </c>
      <c r="E8">
        <v>132</v>
      </c>
      <c r="F8">
        <v>30000</v>
      </c>
      <c r="G8">
        <v>-76</v>
      </c>
      <c r="H8">
        <v>-2280000</v>
      </c>
      <c r="I8" t="s">
        <v>825</v>
      </c>
    </row>
    <row r="9" spans="1:9" x14ac:dyDescent="0.25">
      <c r="A9" t="s">
        <v>734</v>
      </c>
      <c r="B9" t="s">
        <v>96</v>
      </c>
      <c r="C9" t="s">
        <v>74</v>
      </c>
      <c r="D9">
        <v>48</v>
      </c>
      <c r="E9">
        <v>121</v>
      </c>
      <c r="F9">
        <v>55000</v>
      </c>
      <c r="G9">
        <v>-73</v>
      </c>
      <c r="H9">
        <v>-4015000</v>
      </c>
      <c r="I9" t="s">
        <v>825</v>
      </c>
    </row>
    <row r="10" spans="1:9" x14ac:dyDescent="0.25">
      <c r="A10" t="s">
        <v>728</v>
      </c>
      <c r="B10" t="s">
        <v>96</v>
      </c>
      <c r="C10" t="s">
        <v>16</v>
      </c>
      <c r="D10">
        <v>25</v>
      </c>
      <c r="E10">
        <v>4</v>
      </c>
      <c r="F10">
        <v>2500</v>
      </c>
      <c r="G10">
        <v>21</v>
      </c>
      <c r="H10">
        <v>52500</v>
      </c>
      <c r="I10" t="s">
        <v>824</v>
      </c>
    </row>
    <row r="11" spans="1:9" x14ac:dyDescent="0.25">
      <c r="A11" t="s">
        <v>727</v>
      </c>
      <c r="B11" t="s">
        <v>96</v>
      </c>
      <c r="C11" t="s">
        <v>10</v>
      </c>
      <c r="D11">
        <v>82</v>
      </c>
      <c r="E11">
        <v>67</v>
      </c>
      <c r="F11">
        <v>2500</v>
      </c>
      <c r="G11">
        <v>15</v>
      </c>
      <c r="H11">
        <v>37500</v>
      </c>
      <c r="I11" t="s">
        <v>824</v>
      </c>
    </row>
    <row r="12" spans="1:9" x14ac:dyDescent="0.25">
      <c r="A12" t="s">
        <v>722</v>
      </c>
      <c r="B12" t="s">
        <v>96</v>
      </c>
      <c r="C12" t="s">
        <v>12</v>
      </c>
      <c r="D12">
        <v>195</v>
      </c>
      <c r="E12">
        <v>111</v>
      </c>
      <c r="F12">
        <v>2500</v>
      </c>
      <c r="G12">
        <v>84</v>
      </c>
      <c r="H12">
        <v>210000</v>
      </c>
      <c r="I12" t="s">
        <v>824</v>
      </c>
    </row>
    <row r="13" spans="1:9" x14ac:dyDescent="0.25">
      <c r="A13" t="s">
        <v>705</v>
      </c>
      <c r="B13" t="s">
        <v>96</v>
      </c>
      <c r="C13" t="s">
        <v>18</v>
      </c>
      <c r="D13">
        <v>157</v>
      </c>
      <c r="E13">
        <v>28</v>
      </c>
      <c r="F13">
        <v>1500</v>
      </c>
      <c r="G13">
        <v>129</v>
      </c>
      <c r="H13">
        <v>193500</v>
      </c>
      <c r="I13" t="s">
        <v>824</v>
      </c>
    </row>
    <row r="14" spans="1:9" x14ac:dyDescent="0.25">
      <c r="A14" t="s">
        <v>677</v>
      </c>
      <c r="B14" t="s">
        <v>96</v>
      </c>
      <c r="C14" t="s">
        <v>26</v>
      </c>
      <c r="D14">
        <v>191</v>
      </c>
      <c r="E14">
        <v>90</v>
      </c>
      <c r="F14">
        <v>800</v>
      </c>
      <c r="G14">
        <v>101</v>
      </c>
      <c r="H14">
        <v>80800</v>
      </c>
      <c r="I14" t="s">
        <v>824</v>
      </c>
    </row>
    <row r="15" spans="1:9" x14ac:dyDescent="0.25">
      <c r="A15" t="s">
        <v>629</v>
      </c>
      <c r="B15" t="s">
        <v>96</v>
      </c>
      <c r="C15" t="s">
        <v>18</v>
      </c>
      <c r="D15">
        <v>151</v>
      </c>
      <c r="E15">
        <v>85</v>
      </c>
      <c r="F15">
        <v>1500</v>
      </c>
      <c r="G15">
        <v>66</v>
      </c>
      <c r="H15">
        <v>99000</v>
      </c>
      <c r="I15" t="s">
        <v>824</v>
      </c>
    </row>
    <row r="16" spans="1:9" x14ac:dyDescent="0.25">
      <c r="A16" t="s">
        <v>624</v>
      </c>
      <c r="B16" t="s">
        <v>96</v>
      </c>
      <c r="C16" t="s">
        <v>46</v>
      </c>
      <c r="D16">
        <v>167</v>
      </c>
      <c r="E16">
        <v>105</v>
      </c>
      <c r="F16">
        <v>2500</v>
      </c>
      <c r="G16">
        <v>62</v>
      </c>
      <c r="H16">
        <v>155000</v>
      </c>
      <c r="I16" t="s">
        <v>824</v>
      </c>
    </row>
    <row r="17" spans="1:9" x14ac:dyDescent="0.25">
      <c r="A17" t="s">
        <v>618</v>
      </c>
      <c r="B17" t="s">
        <v>96</v>
      </c>
      <c r="C17" t="s">
        <v>18</v>
      </c>
      <c r="D17">
        <v>134</v>
      </c>
      <c r="E17">
        <v>55</v>
      </c>
      <c r="F17">
        <v>12000</v>
      </c>
      <c r="G17">
        <v>79</v>
      </c>
      <c r="H17">
        <v>948000</v>
      </c>
      <c r="I17" t="s">
        <v>824</v>
      </c>
    </row>
    <row r="18" spans="1:9" x14ac:dyDescent="0.25">
      <c r="A18" t="s">
        <v>600</v>
      </c>
      <c r="B18" t="s">
        <v>96</v>
      </c>
      <c r="C18" t="s">
        <v>31</v>
      </c>
      <c r="D18">
        <v>73</v>
      </c>
      <c r="E18">
        <v>133</v>
      </c>
      <c r="F18">
        <v>8000</v>
      </c>
      <c r="G18">
        <v>-60</v>
      </c>
      <c r="H18">
        <v>-480000</v>
      </c>
      <c r="I18" t="s">
        <v>825</v>
      </c>
    </row>
    <row r="19" spans="1:9" x14ac:dyDescent="0.25">
      <c r="A19" t="s">
        <v>591</v>
      </c>
      <c r="B19" t="s">
        <v>96</v>
      </c>
      <c r="C19" t="s">
        <v>34</v>
      </c>
      <c r="D19">
        <v>198</v>
      </c>
      <c r="E19">
        <v>75</v>
      </c>
      <c r="F19">
        <v>55000</v>
      </c>
      <c r="G19">
        <v>123</v>
      </c>
      <c r="H19">
        <v>6765000</v>
      </c>
      <c r="I19" t="s">
        <v>824</v>
      </c>
    </row>
    <row r="20" spans="1:9" x14ac:dyDescent="0.25">
      <c r="A20" t="s">
        <v>590</v>
      </c>
      <c r="B20" t="s">
        <v>96</v>
      </c>
      <c r="C20" t="s">
        <v>31</v>
      </c>
      <c r="D20">
        <v>71</v>
      </c>
      <c r="E20">
        <v>118</v>
      </c>
      <c r="F20">
        <v>8000</v>
      </c>
      <c r="G20">
        <v>-47</v>
      </c>
      <c r="H20">
        <v>-376000</v>
      </c>
      <c r="I20" t="s">
        <v>825</v>
      </c>
    </row>
    <row r="21" spans="1:9" x14ac:dyDescent="0.25">
      <c r="A21" t="s">
        <v>570</v>
      </c>
      <c r="B21" t="s">
        <v>96</v>
      </c>
      <c r="C21" t="s">
        <v>12</v>
      </c>
      <c r="D21">
        <v>195</v>
      </c>
      <c r="E21">
        <v>14</v>
      </c>
      <c r="F21">
        <v>1500</v>
      </c>
      <c r="G21">
        <v>181</v>
      </c>
      <c r="H21">
        <v>271500</v>
      </c>
      <c r="I21" t="s">
        <v>824</v>
      </c>
    </row>
    <row r="22" spans="1:9" x14ac:dyDescent="0.25">
      <c r="A22" t="s">
        <v>542</v>
      </c>
      <c r="B22" t="s">
        <v>96</v>
      </c>
      <c r="C22" t="s">
        <v>14</v>
      </c>
      <c r="D22">
        <v>119</v>
      </c>
      <c r="E22">
        <v>43</v>
      </c>
      <c r="F22">
        <v>500</v>
      </c>
      <c r="G22">
        <v>76</v>
      </c>
      <c r="H22">
        <v>38000</v>
      </c>
      <c r="I22" t="s">
        <v>824</v>
      </c>
    </row>
    <row r="23" spans="1:9" x14ac:dyDescent="0.25">
      <c r="A23" t="s">
        <v>493</v>
      </c>
      <c r="B23" t="s">
        <v>96</v>
      </c>
      <c r="C23" t="s">
        <v>31</v>
      </c>
      <c r="D23">
        <v>161</v>
      </c>
      <c r="E23">
        <v>80</v>
      </c>
      <c r="F23">
        <v>1500</v>
      </c>
      <c r="G23">
        <v>81</v>
      </c>
      <c r="H23">
        <v>121500</v>
      </c>
      <c r="I23" t="s">
        <v>824</v>
      </c>
    </row>
    <row r="24" spans="1:9" x14ac:dyDescent="0.25">
      <c r="A24" t="s">
        <v>491</v>
      </c>
      <c r="B24" t="s">
        <v>96</v>
      </c>
      <c r="C24" t="s">
        <v>74</v>
      </c>
      <c r="D24">
        <v>71</v>
      </c>
      <c r="E24">
        <v>1</v>
      </c>
      <c r="F24">
        <v>30000</v>
      </c>
      <c r="G24">
        <v>70</v>
      </c>
      <c r="H24">
        <v>2100000</v>
      </c>
      <c r="I24" t="s">
        <v>824</v>
      </c>
    </row>
    <row r="25" spans="1:9" x14ac:dyDescent="0.25">
      <c r="A25" t="s">
        <v>478</v>
      </c>
      <c r="B25" t="s">
        <v>96</v>
      </c>
      <c r="C25" t="s">
        <v>10</v>
      </c>
      <c r="D25">
        <v>62</v>
      </c>
      <c r="E25">
        <v>75</v>
      </c>
      <c r="F25">
        <v>800</v>
      </c>
      <c r="G25">
        <v>-13</v>
      </c>
      <c r="H25">
        <v>-10400</v>
      </c>
      <c r="I25" t="s">
        <v>825</v>
      </c>
    </row>
    <row r="26" spans="1:9" x14ac:dyDescent="0.25">
      <c r="A26" t="s">
        <v>467</v>
      </c>
      <c r="B26" t="s">
        <v>96</v>
      </c>
      <c r="C26" t="s">
        <v>12</v>
      </c>
      <c r="D26">
        <v>30</v>
      </c>
      <c r="E26">
        <v>49</v>
      </c>
      <c r="F26">
        <v>1200</v>
      </c>
      <c r="G26">
        <v>-19</v>
      </c>
      <c r="H26">
        <v>-22800</v>
      </c>
      <c r="I26" t="s">
        <v>825</v>
      </c>
    </row>
    <row r="27" spans="1:9" x14ac:dyDescent="0.25">
      <c r="A27" t="s">
        <v>462</v>
      </c>
      <c r="B27" t="s">
        <v>96</v>
      </c>
      <c r="C27" t="s">
        <v>46</v>
      </c>
      <c r="D27">
        <v>88</v>
      </c>
      <c r="E27">
        <v>131</v>
      </c>
      <c r="F27">
        <v>1500</v>
      </c>
      <c r="G27">
        <v>-43</v>
      </c>
      <c r="H27">
        <v>-64500</v>
      </c>
      <c r="I27" t="s">
        <v>825</v>
      </c>
    </row>
    <row r="28" spans="1:9" x14ac:dyDescent="0.25">
      <c r="A28" t="s">
        <v>456</v>
      </c>
      <c r="B28" t="s">
        <v>96</v>
      </c>
      <c r="C28" t="s">
        <v>18</v>
      </c>
      <c r="D28">
        <v>38</v>
      </c>
      <c r="E28">
        <v>15</v>
      </c>
      <c r="F28">
        <v>30000</v>
      </c>
      <c r="G28">
        <v>23</v>
      </c>
      <c r="H28">
        <v>690000</v>
      </c>
      <c r="I28" t="s">
        <v>824</v>
      </c>
    </row>
    <row r="29" spans="1:9" x14ac:dyDescent="0.25">
      <c r="A29" t="s">
        <v>429</v>
      </c>
      <c r="B29" t="s">
        <v>96</v>
      </c>
      <c r="C29" t="s">
        <v>16</v>
      </c>
      <c r="D29">
        <v>133</v>
      </c>
      <c r="E29">
        <v>115</v>
      </c>
      <c r="F29">
        <v>800</v>
      </c>
      <c r="G29">
        <v>18</v>
      </c>
      <c r="H29">
        <v>14400</v>
      </c>
      <c r="I29" t="s">
        <v>824</v>
      </c>
    </row>
    <row r="30" spans="1:9" x14ac:dyDescent="0.25">
      <c r="A30" t="s">
        <v>421</v>
      </c>
      <c r="B30" t="s">
        <v>96</v>
      </c>
      <c r="C30" t="s">
        <v>26</v>
      </c>
      <c r="D30">
        <v>169</v>
      </c>
      <c r="E30">
        <v>59</v>
      </c>
      <c r="F30">
        <v>55000</v>
      </c>
      <c r="G30">
        <v>110</v>
      </c>
      <c r="H30">
        <v>6050000</v>
      </c>
      <c r="I30" t="s">
        <v>824</v>
      </c>
    </row>
    <row r="31" spans="1:9" x14ac:dyDescent="0.25">
      <c r="A31" t="s">
        <v>418</v>
      </c>
      <c r="B31" t="s">
        <v>96</v>
      </c>
      <c r="C31" t="s">
        <v>18</v>
      </c>
      <c r="D31">
        <v>96</v>
      </c>
      <c r="E31">
        <v>22</v>
      </c>
      <c r="F31">
        <v>55000</v>
      </c>
      <c r="G31">
        <v>74</v>
      </c>
      <c r="H31">
        <v>4070000</v>
      </c>
      <c r="I31" t="s">
        <v>824</v>
      </c>
    </row>
    <row r="32" spans="1:9" x14ac:dyDescent="0.25">
      <c r="A32" t="s">
        <v>397</v>
      </c>
      <c r="B32" t="s">
        <v>96</v>
      </c>
      <c r="C32" t="s">
        <v>12</v>
      </c>
      <c r="D32">
        <v>41</v>
      </c>
      <c r="E32">
        <v>59</v>
      </c>
      <c r="F32">
        <v>2500</v>
      </c>
      <c r="G32">
        <v>-18</v>
      </c>
      <c r="H32">
        <v>-45000</v>
      </c>
      <c r="I32" t="s">
        <v>825</v>
      </c>
    </row>
    <row r="33" spans="1:9" x14ac:dyDescent="0.25">
      <c r="A33" t="s">
        <v>378</v>
      </c>
      <c r="B33" t="s">
        <v>96</v>
      </c>
      <c r="C33" t="s">
        <v>74</v>
      </c>
      <c r="D33">
        <v>161</v>
      </c>
      <c r="E33">
        <v>139</v>
      </c>
      <c r="F33">
        <v>5000</v>
      </c>
      <c r="G33">
        <v>22</v>
      </c>
      <c r="H33">
        <v>110000</v>
      </c>
      <c r="I33" t="s">
        <v>824</v>
      </c>
    </row>
    <row r="34" spans="1:9" x14ac:dyDescent="0.25">
      <c r="A34" t="s">
        <v>343</v>
      </c>
      <c r="B34" t="s">
        <v>96</v>
      </c>
      <c r="C34" t="s">
        <v>34</v>
      </c>
      <c r="D34">
        <v>112</v>
      </c>
      <c r="E34">
        <v>23</v>
      </c>
      <c r="F34">
        <v>30000</v>
      </c>
      <c r="G34">
        <v>89</v>
      </c>
      <c r="H34">
        <v>2670000</v>
      </c>
      <c r="I34" t="s">
        <v>824</v>
      </c>
    </row>
    <row r="35" spans="1:9" x14ac:dyDescent="0.25">
      <c r="A35" t="s">
        <v>341</v>
      </c>
      <c r="B35" t="s">
        <v>96</v>
      </c>
      <c r="C35" t="s">
        <v>26</v>
      </c>
      <c r="D35">
        <v>133</v>
      </c>
      <c r="E35">
        <v>97</v>
      </c>
      <c r="F35">
        <v>30000</v>
      </c>
      <c r="G35">
        <v>36</v>
      </c>
      <c r="H35">
        <v>1080000</v>
      </c>
      <c r="I35" t="s">
        <v>824</v>
      </c>
    </row>
    <row r="36" spans="1:9" x14ac:dyDescent="0.25">
      <c r="A36" t="s">
        <v>327</v>
      </c>
      <c r="B36" t="s">
        <v>96</v>
      </c>
      <c r="C36" t="s">
        <v>46</v>
      </c>
      <c r="D36">
        <v>194</v>
      </c>
      <c r="E36">
        <v>124</v>
      </c>
      <c r="F36">
        <v>8000</v>
      </c>
      <c r="G36">
        <v>70</v>
      </c>
      <c r="H36">
        <v>560000</v>
      </c>
      <c r="I36" t="s">
        <v>824</v>
      </c>
    </row>
    <row r="37" spans="1:9" x14ac:dyDescent="0.25">
      <c r="A37" t="s">
        <v>95</v>
      </c>
      <c r="B37" t="s">
        <v>96</v>
      </c>
      <c r="C37" t="s">
        <v>18</v>
      </c>
      <c r="D37">
        <v>39</v>
      </c>
      <c r="E37">
        <v>31</v>
      </c>
      <c r="F37">
        <v>500</v>
      </c>
      <c r="G37">
        <v>8</v>
      </c>
      <c r="H37">
        <v>4000</v>
      </c>
      <c r="I37" t="s">
        <v>825</v>
      </c>
    </row>
    <row r="38" spans="1:9" x14ac:dyDescent="0.25">
      <c r="A38" t="s">
        <v>98</v>
      </c>
      <c r="B38" t="s">
        <v>96</v>
      </c>
      <c r="C38" t="s">
        <v>34</v>
      </c>
      <c r="D38">
        <v>35</v>
      </c>
      <c r="E38">
        <v>142</v>
      </c>
      <c r="F38">
        <v>2500</v>
      </c>
      <c r="G38">
        <v>-107</v>
      </c>
      <c r="H38">
        <v>-267500</v>
      </c>
      <c r="I38" t="s">
        <v>825</v>
      </c>
    </row>
    <row r="39" spans="1:9" x14ac:dyDescent="0.25">
      <c r="A39" t="s">
        <v>319</v>
      </c>
      <c r="B39" t="s">
        <v>96</v>
      </c>
      <c r="C39" t="s">
        <v>31</v>
      </c>
      <c r="D39">
        <v>52</v>
      </c>
      <c r="E39">
        <v>115</v>
      </c>
      <c r="F39">
        <v>2500</v>
      </c>
      <c r="G39">
        <v>-63</v>
      </c>
      <c r="H39">
        <v>-157500</v>
      </c>
      <c r="I39" t="s">
        <v>825</v>
      </c>
    </row>
    <row r="40" spans="1:9" x14ac:dyDescent="0.25">
      <c r="A40" t="s">
        <v>284</v>
      </c>
      <c r="B40" t="s">
        <v>96</v>
      </c>
      <c r="C40" t="s">
        <v>10</v>
      </c>
      <c r="D40">
        <v>140</v>
      </c>
      <c r="E40">
        <v>49</v>
      </c>
      <c r="F40">
        <v>500</v>
      </c>
      <c r="G40">
        <v>91</v>
      </c>
      <c r="H40">
        <v>45500</v>
      </c>
      <c r="I40" t="s">
        <v>824</v>
      </c>
    </row>
    <row r="41" spans="1:9" x14ac:dyDescent="0.25">
      <c r="A41" t="s">
        <v>280</v>
      </c>
      <c r="B41" t="s">
        <v>96</v>
      </c>
      <c r="C41" t="s">
        <v>26</v>
      </c>
      <c r="D41">
        <v>91</v>
      </c>
      <c r="E41">
        <v>69</v>
      </c>
      <c r="F41">
        <v>8000</v>
      </c>
      <c r="G41">
        <v>22</v>
      </c>
      <c r="H41">
        <v>176000</v>
      </c>
      <c r="I41" t="s">
        <v>824</v>
      </c>
    </row>
    <row r="42" spans="1:9" x14ac:dyDescent="0.25">
      <c r="A42" t="s">
        <v>231</v>
      </c>
      <c r="B42" t="s">
        <v>96</v>
      </c>
      <c r="C42" t="s">
        <v>14</v>
      </c>
      <c r="D42">
        <v>58</v>
      </c>
      <c r="E42">
        <v>75</v>
      </c>
      <c r="F42">
        <v>55000</v>
      </c>
      <c r="G42">
        <v>-17</v>
      </c>
      <c r="H42">
        <v>-935000</v>
      </c>
      <c r="I42" t="s">
        <v>825</v>
      </c>
    </row>
    <row r="43" spans="1:9" x14ac:dyDescent="0.25">
      <c r="A43" t="s">
        <v>215</v>
      </c>
      <c r="B43" t="s">
        <v>96</v>
      </c>
      <c r="C43" t="s">
        <v>46</v>
      </c>
      <c r="D43">
        <v>180</v>
      </c>
      <c r="E43">
        <v>143</v>
      </c>
      <c r="F43">
        <v>55000</v>
      </c>
      <c r="G43">
        <v>37</v>
      </c>
      <c r="H43">
        <v>2035000</v>
      </c>
      <c r="I43" t="s">
        <v>824</v>
      </c>
    </row>
    <row r="44" spans="1:9" x14ac:dyDescent="0.25">
      <c r="A44" t="s">
        <v>205</v>
      </c>
      <c r="B44" t="s">
        <v>96</v>
      </c>
      <c r="C44" t="s">
        <v>31</v>
      </c>
      <c r="D44">
        <v>52</v>
      </c>
      <c r="E44">
        <v>102</v>
      </c>
      <c r="F44">
        <v>500</v>
      </c>
      <c r="G44">
        <v>-50</v>
      </c>
      <c r="H44">
        <v>-25000</v>
      </c>
      <c r="I44" t="s">
        <v>825</v>
      </c>
    </row>
    <row r="45" spans="1:9" x14ac:dyDescent="0.25">
      <c r="A45" t="s">
        <v>201</v>
      </c>
      <c r="B45" t="s">
        <v>96</v>
      </c>
      <c r="C45" t="s">
        <v>10</v>
      </c>
      <c r="D45">
        <v>170</v>
      </c>
      <c r="E45">
        <v>116</v>
      </c>
      <c r="F45">
        <v>500</v>
      </c>
      <c r="G45">
        <v>54</v>
      </c>
      <c r="H45">
        <v>27000</v>
      </c>
      <c r="I45" t="s">
        <v>824</v>
      </c>
    </row>
    <row r="46" spans="1:9" x14ac:dyDescent="0.25">
      <c r="A46" t="s">
        <v>168</v>
      </c>
      <c r="B46" t="s">
        <v>96</v>
      </c>
      <c r="C46" t="s">
        <v>26</v>
      </c>
      <c r="D46">
        <v>179</v>
      </c>
      <c r="E46">
        <v>72</v>
      </c>
      <c r="F46">
        <v>8000</v>
      </c>
      <c r="G46">
        <v>107</v>
      </c>
      <c r="H46">
        <v>856000</v>
      </c>
      <c r="I46" t="s">
        <v>824</v>
      </c>
    </row>
    <row r="47" spans="1:9" x14ac:dyDescent="0.25">
      <c r="A47" t="s">
        <v>125</v>
      </c>
      <c r="B47" t="s">
        <v>96</v>
      </c>
      <c r="C47" t="s">
        <v>34</v>
      </c>
      <c r="D47">
        <v>82</v>
      </c>
      <c r="E47">
        <v>17</v>
      </c>
      <c r="F47">
        <v>1500</v>
      </c>
      <c r="G47">
        <v>65</v>
      </c>
      <c r="H47">
        <v>97500</v>
      </c>
      <c r="I47" t="s">
        <v>824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91207-2F17-4E31-B156-D47502E64B03}">
  <dimension ref="A1:I54"/>
  <sheetViews>
    <sheetView workbookViewId="0">
      <selection activeCell="A3" sqref="A3:I54"/>
    </sheetView>
  </sheetViews>
  <sheetFormatPr defaultRowHeight="15" x14ac:dyDescent="0.25"/>
  <cols>
    <col min="1" max="1" width="12.42578125" bestFit="1" customWidth="1"/>
    <col min="2" max="2" width="16" bestFit="1" customWidth="1"/>
    <col min="3" max="3" width="10.7109375" bestFit="1" customWidth="1"/>
    <col min="4" max="4" width="10.140625" bestFit="1" customWidth="1"/>
    <col min="5" max="5" width="11.7109375" bestFit="1" customWidth="1"/>
    <col min="6" max="6" width="12" bestFit="1" customWidth="1"/>
    <col min="7" max="7" width="15.140625" bestFit="1" customWidth="1"/>
    <col min="8" max="8" width="13.5703125" bestFit="1" customWidth="1"/>
    <col min="9" max="9" width="13.85546875" bestFit="1" customWidth="1"/>
  </cols>
  <sheetData>
    <row r="1" spans="1:9" x14ac:dyDescent="0.25">
      <c r="A1" s="10" t="s">
        <v>827</v>
      </c>
    </row>
    <row r="3" spans="1:9" x14ac:dyDescent="0.25">
      <c r="A3" t="s">
        <v>0</v>
      </c>
      <c r="B3" t="s">
        <v>1</v>
      </c>
      <c r="C3" t="s">
        <v>3</v>
      </c>
      <c r="D3" t="s">
        <v>4</v>
      </c>
      <c r="E3" t="s">
        <v>5</v>
      </c>
      <c r="F3" t="s">
        <v>6</v>
      </c>
      <c r="G3" t="s">
        <v>19</v>
      </c>
      <c r="H3" t="s">
        <v>20</v>
      </c>
      <c r="I3" t="s">
        <v>21</v>
      </c>
    </row>
    <row r="4" spans="1:9" x14ac:dyDescent="0.25">
      <c r="A4" t="s">
        <v>22</v>
      </c>
      <c r="B4" t="s">
        <v>13</v>
      </c>
      <c r="C4" t="s">
        <v>16</v>
      </c>
      <c r="D4">
        <v>184</v>
      </c>
      <c r="E4">
        <v>14</v>
      </c>
      <c r="F4">
        <v>500</v>
      </c>
      <c r="G4">
        <v>170</v>
      </c>
      <c r="H4">
        <v>85000</v>
      </c>
      <c r="I4" t="s">
        <v>824</v>
      </c>
    </row>
    <row r="5" spans="1:9" x14ac:dyDescent="0.25">
      <c r="A5" t="s">
        <v>804</v>
      </c>
      <c r="B5" t="s">
        <v>13</v>
      </c>
      <c r="C5" t="s">
        <v>12</v>
      </c>
      <c r="D5">
        <v>77</v>
      </c>
      <c r="E5">
        <v>97</v>
      </c>
      <c r="F5">
        <v>2500</v>
      </c>
      <c r="G5">
        <v>-20</v>
      </c>
      <c r="H5">
        <v>-50000</v>
      </c>
      <c r="I5" t="s">
        <v>825</v>
      </c>
    </row>
    <row r="6" spans="1:9" x14ac:dyDescent="0.25">
      <c r="A6" t="s">
        <v>798</v>
      </c>
      <c r="B6" t="s">
        <v>13</v>
      </c>
      <c r="C6" t="s">
        <v>10</v>
      </c>
      <c r="D6">
        <v>104</v>
      </c>
      <c r="E6">
        <v>0</v>
      </c>
      <c r="F6">
        <v>2500</v>
      </c>
      <c r="G6">
        <v>104</v>
      </c>
      <c r="H6">
        <v>260000</v>
      </c>
      <c r="I6" t="s">
        <v>824</v>
      </c>
    </row>
    <row r="7" spans="1:9" x14ac:dyDescent="0.25">
      <c r="A7" t="s">
        <v>771</v>
      </c>
      <c r="B7" t="s">
        <v>13</v>
      </c>
      <c r="C7" t="s">
        <v>16</v>
      </c>
      <c r="D7">
        <v>135</v>
      </c>
      <c r="E7">
        <v>78</v>
      </c>
      <c r="F7">
        <v>8000</v>
      </c>
      <c r="G7">
        <v>57</v>
      </c>
      <c r="H7">
        <v>456000</v>
      </c>
      <c r="I7" t="s">
        <v>824</v>
      </c>
    </row>
    <row r="8" spans="1:9" x14ac:dyDescent="0.25">
      <c r="A8" t="s">
        <v>33</v>
      </c>
      <c r="B8" t="s">
        <v>13</v>
      </c>
      <c r="C8" t="s">
        <v>34</v>
      </c>
      <c r="D8">
        <v>197</v>
      </c>
      <c r="E8">
        <v>22</v>
      </c>
      <c r="F8">
        <v>5000</v>
      </c>
      <c r="G8">
        <v>175</v>
      </c>
      <c r="H8">
        <v>875000</v>
      </c>
      <c r="I8" t="s">
        <v>824</v>
      </c>
    </row>
    <row r="9" spans="1:9" x14ac:dyDescent="0.25">
      <c r="A9" t="s">
        <v>702</v>
      </c>
      <c r="B9" t="s">
        <v>13</v>
      </c>
      <c r="C9" t="s">
        <v>16</v>
      </c>
      <c r="D9">
        <v>160</v>
      </c>
      <c r="E9">
        <v>25</v>
      </c>
      <c r="F9">
        <v>55000</v>
      </c>
      <c r="G9">
        <v>135</v>
      </c>
      <c r="H9">
        <v>7425000</v>
      </c>
      <c r="I9" t="s">
        <v>824</v>
      </c>
    </row>
    <row r="10" spans="1:9" x14ac:dyDescent="0.25">
      <c r="A10" t="s">
        <v>700</v>
      </c>
      <c r="B10" t="s">
        <v>13</v>
      </c>
      <c r="C10" t="s">
        <v>18</v>
      </c>
      <c r="D10">
        <v>170</v>
      </c>
      <c r="E10">
        <v>12</v>
      </c>
      <c r="F10">
        <v>8000</v>
      </c>
      <c r="G10">
        <v>158</v>
      </c>
      <c r="H10">
        <v>1264000</v>
      </c>
      <c r="I10" t="s">
        <v>824</v>
      </c>
    </row>
    <row r="11" spans="1:9" x14ac:dyDescent="0.25">
      <c r="A11" t="s">
        <v>682</v>
      </c>
      <c r="B11" t="s">
        <v>13</v>
      </c>
      <c r="C11" t="s">
        <v>34</v>
      </c>
      <c r="D11">
        <v>122</v>
      </c>
      <c r="E11">
        <v>146</v>
      </c>
      <c r="F11">
        <v>1200</v>
      </c>
      <c r="G11">
        <v>-24</v>
      </c>
      <c r="H11">
        <v>-28800</v>
      </c>
      <c r="I11" t="s">
        <v>825</v>
      </c>
    </row>
    <row r="12" spans="1:9" x14ac:dyDescent="0.25">
      <c r="A12" t="s">
        <v>675</v>
      </c>
      <c r="B12" t="s">
        <v>13</v>
      </c>
      <c r="C12" t="s">
        <v>12</v>
      </c>
      <c r="D12">
        <v>175</v>
      </c>
      <c r="E12">
        <v>111</v>
      </c>
      <c r="F12">
        <v>55000</v>
      </c>
      <c r="G12">
        <v>64</v>
      </c>
      <c r="H12">
        <v>3520000</v>
      </c>
      <c r="I12" t="s">
        <v>824</v>
      </c>
    </row>
    <row r="13" spans="1:9" x14ac:dyDescent="0.25">
      <c r="A13" t="s">
        <v>666</v>
      </c>
      <c r="B13" t="s">
        <v>13</v>
      </c>
      <c r="C13" t="s">
        <v>26</v>
      </c>
      <c r="D13">
        <v>82</v>
      </c>
      <c r="E13">
        <v>69</v>
      </c>
      <c r="F13">
        <v>8000</v>
      </c>
      <c r="G13">
        <v>13</v>
      </c>
      <c r="H13">
        <v>104000</v>
      </c>
      <c r="I13" t="s">
        <v>824</v>
      </c>
    </row>
    <row r="14" spans="1:9" x14ac:dyDescent="0.25">
      <c r="A14" t="s">
        <v>654</v>
      </c>
      <c r="B14" t="s">
        <v>13</v>
      </c>
      <c r="C14" t="s">
        <v>31</v>
      </c>
      <c r="D14">
        <v>121</v>
      </c>
      <c r="E14">
        <v>119</v>
      </c>
      <c r="F14">
        <v>30000</v>
      </c>
      <c r="G14">
        <v>2</v>
      </c>
      <c r="H14">
        <v>60000</v>
      </c>
      <c r="I14" t="s">
        <v>825</v>
      </c>
    </row>
    <row r="15" spans="1:9" x14ac:dyDescent="0.25">
      <c r="A15" t="s">
        <v>641</v>
      </c>
      <c r="B15" t="s">
        <v>13</v>
      </c>
      <c r="C15" t="s">
        <v>18</v>
      </c>
      <c r="D15">
        <v>103</v>
      </c>
      <c r="E15">
        <v>82</v>
      </c>
      <c r="F15">
        <v>2500</v>
      </c>
      <c r="G15">
        <v>21</v>
      </c>
      <c r="H15">
        <v>52500</v>
      </c>
      <c r="I15" t="s">
        <v>824</v>
      </c>
    </row>
    <row r="16" spans="1:9" x14ac:dyDescent="0.25">
      <c r="A16" t="s">
        <v>635</v>
      </c>
      <c r="B16" t="s">
        <v>13</v>
      </c>
      <c r="C16" t="s">
        <v>14</v>
      </c>
      <c r="D16">
        <v>46</v>
      </c>
      <c r="E16">
        <v>138</v>
      </c>
      <c r="F16">
        <v>800</v>
      </c>
      <c r="G16">
        <v>-92</v>
      </c>
      <c r="H16">
        <v>-73600</v>
      </c>
      <c r="I16" t="s">
        <v>825</v>
      </c>
    </row>
    <row r="17" spans="1:9" x14ac:dyDescent="0.25">
      <c r="A17" t="s">
        <v>594</v>
      </c>
      <c r="B17" t="s">
        <v>13</v>
      </c>
      <c r="C17" t="s">
        <v>74</v>
      </c>
      <c r="D17">
        <v>82</v>
      </c>
      <c r="E17">
        <v>140</v>
      </c>
      <c r="F17">
        <v>30000</v>
      </c>
      <c r="G17">
        <v>-58</v>
      </c>
      <c r="H17">
        <v>-1740000</v>
      </c>
      <c r="I17" t="s">
        <v>825</v>
      </c>
    </row>
    <row r="18" spans="1:9" x14ac:dyDescent="0.25">
      <c r="A18" t="s">
        <v>581</v>
      </c>
      <c r="B18" t="s">
        <v>13</v>
      </c>
      <c r="C18" t="s">
        <v>26</v>
      </c>
      <c r="D18">
        <v>137</v>
      </c>
      <c r="E18">
        <v>126</v>
      </c>
      <c r="F18">
        <v>2500</v>
      </c>
      <c r="G18">
        <v>11</v>
      </c>
      <c r="H18">
        <v>27500</v>
      </c>
      <c r="I18" t="s">
        <v>824</v>
      </c>
    </row>
    <row r="19" spans="1:9" x14ac:dyDescent="0.25">
      <c r="A19" t="s">
        <v>60</v>
      </c>
      <c r="B19" t="s">
        <v>13</v>
      </c>
      <c r="C19" t="s">
        <v>12</v>
      </c>
      <c r="D19">
        <v>31</v>
      </c>
      <c r="E19">
        <v>58</v>
      </c>
      <c r="F19">
        <v>2500</v>
      </c>
      <c r="G19">
        <v>-27</v>
      </c>
      <c r="H19">
        <v>-67500</v>
      </c>
      <c r="I19" t="s">
        <v>825</v>
      </c>
    </row>
    <row r="20" spans="1:9" x14ac:dyDescent="0.25">
      <c r="A20" t="s">
        <v>563</v>
      </c>
      <c r="B20" t="s">
        <v>13</v>
      </c>
      <c r="C20" t="s">
        <v>74</v>
      </c>
      <c r="D20">
        <v>152</v>
      </c>
      <c r="E20">
        <v>57</v>
      </c>
      <c r="F20">
        <v>800</v>
      </c>
      <c r="G20">
        <v>95</v>
      </c>
      <c r="H20">
        <v>76000</v>
      </c>
      <c r="I20" t="s">
        <v>824</v>
      </c>
    </row>
    <row r="21" spans="1:9" x14ac:dyDescent="0.25">
      <c r="A21" t="s">
        <v>534</v>
      </c>
      <c r="B21" t="s">
        <v>13</v>
      </c>
      <c r="C21" t="s">
        <v>26</v>
      </c>
      <c r="D21">
        <v>65</v>
      </c>
      <c r="E21">
        <v>91</v>
      </c>
      <c r="F21">
        <v>8000</v>
      </c>
      <c r="G21">
        <v>-26</v>
      </c>
      <c r="H21">
        <v>-208000</v>
      </c>
      <c r="I21" t="s">
        <v>825</v>
      </c>
    </row>
    <row r="22" spans="1:9" x14ac:dyDescent="0.25">
      <c r="A22" t="s">
        <v>520</v>
      </c>
      <c r="B22" t="s">
        <v>13</v>
      </c>
      <c r="C22" t="s">
        <v>31</v>
      </c>
      <c r="D22">
        <v>26</v>
      </c>
      <c r="E22">
        <v>27</v>
      </c>
      <c r="F22">
        <v>1500</v>
      </c>
      <c r="G22">
        <v>-1</v>
      </c>
      <c r="H22">
        <v>-1500</v>
      </c>
      <c r="I22" t="s">
        <v>825</v>
      </c>
    </row>
    <row r="23" spans="1:9" x14ac:dyDescent="0.25">
      <c r="A23" t="s">
        <v>472</v>
      </c>
      <c r="B23" t="s">
        <v>13</v>
      </c>
      <c r="C23" t="s">
        <v>18</v>
      </c>
      <c r="D23">
        <v>194</v>
      </c>
      <c r="E23">
        <v>6</v>
      </c>
      <c r="F23">
        <v>30000</v>
      </c>
      <c r="G23">
        <v>188</v>
      </c>
      <c r="H23">
        <v>5640000</v>
      </c>
      <c r="I23" t="s">
        <v>824</v>
      </c>
    </row>
    <row r="24" spans="1:9" x14ac:dyDescent="0.25">
      <c r="A24" t="s">
        <v>452</v>
      </c>
      <c r="B24" t="s">
        <v>13</v>
      </c>
      <c r="C24" t="s">
        <v>18</v>
      </c>
      <c r="D24">
        <v>175</v>
      </c>
      <c r="E24">
        <v>15</v>
      </c>
      <c r="F24">
        <v>800</v>
      </c>
      <c r="G24">
        <v>160</v>
      </c>
      <c r="H24">
        <v>128000</v>
      </c>
      <c r="I24" t="s">
        <v>824</v>
      </c>
    </row>
    <row r="25" spans="1:9" x14ac:dyDescent="0.25">
      <c r="A25" t="s">
        <v>447</v>
      </c>
      <c r="B25" t="s">
        <v>13</v>
      </c>
      <c r="C25" t="s">
        <v>16</v>
      </c>
      <c r="D25">
        <v>152</v>
      </c>
      <c r="E25">
        <v>46</v>
      </c>
      <c r="F25">
        <v>5000</v>
      </c>
      <c r="G25">
        <v>106</v>
      </c>
      <c r="H25">
        <v>530000</v>
      </c>
      <c r="I25" t="s">
        <v>824</v>
      </c>
    </row>
    <row r="26" spans="1:9" x14ac:dyDescent="0.25">
      <c r="A26" t="s">
        <v>442</v>
      </c>
      <c r="B26" t="s">
        <v>13</v>
      </c>
      <c r="C26" t="s">
        <v>34</v>
      </c>
      <c r="D26">
        <v>161</v>
      </c>
      <c r="E26">
        <v>31</v>
      </c>
      <c r="F26">
        <v>8000</v>
      </c>
      <c r="G26">
        <v>130</v>
      </c>
      <c r="H26">
        <v>1040000</v>
      </c>
      <c r="I26" t="s">
        <v>824</v>
      </c>
    </row>
    <row r="27" spans="1:9" x14ac:dyDescent="0.25">
      <c r="A27" t="s">
        <v>434</v>
      </c>
      <c r="B27" t="s">
        <v>13</v>
      </c>
      <c r="C27" t="s">
        <v>46</v>
      </c>
      <c r="D27">
        <v>22</v>
      </c>
      <c r="E27">
        <v>19</v>
      </c>
      <c r="F27">
        <v>55000</v>
      </c>
      <c r="G27">
        <v>3</v>
      </c>
      <c r="H27">
        <v>165000</v>
      </c>
      <c r="I27" t="s">
        <v>825</v>
      </c>
    </row>
    <row r="28" spans="1:9" x14ac:dyDescent="0.25">
      <c r="A28" t="s">
        <v>402</v>
      </c>
      <c r="B28" t="s">
        <v>13</v>
      </c>
      <c r="C28" t="s">
        <v>34</v>
      </c>
      <c r="D28">
        <v>55</v>
      </c>
      <c r="E28">
        <v>97</v>
      </c>
      <c r="F28">
        <v>55000</v>
      </c>
      <c r="G28">
        <v>-42</v>
      </c>
      <c r="H28">
        <v>-2310000</v>
      </c>
      <c r="I28" t="s">
        <v>825</v>
      </c>
    </row>
    <row r="29" spans="1:9" x14ac:dyDescent="0.25">
      <c r="A29" t="s">
        <v>399</v>
      </c>
      <c r="B29" t="s">
        <v>13</v>
      </c>
      <c r="C29" t="s">
        <v>34</v>
      </c>
      <c r="D29">
        <v>139</v>
      </c>
      <c r="E29">
        <v>58</v>
      </c>
      <c r="F29">
        <v>2500</v>
      </c>
      <c r="G29">
        <v>81</v>
      </c>
      <c r="H29">
        <v>202500</v>
      </c>
      <c r="I29" t="s">
        <v>824</v>
      </c>
    </row>
    <row r="30" spans="1:9" x14ac:dyDescent="0.25">
      <c r="A30" t="s">
        <v>390</v>
      </c>
      <c r="B30" t="s">
        <v>13</v>
      </c>
      <c r="C30" t="s">
        <v>18</v>
      </c>
      <c r="D30">
        <v>158</v>
      </c>
      <c r="E30">
        <v>63</v>
      </c>
      <c r="F30">
        <v>2500</v>
      </c>
      <c r="G30">
        <v>95</v>
      </c>
      <c r="H30">
        <v>237500</v>
      </c>
      <c r="I30" t="s">
        <v>824</v>
      </c>
    </row>
    <row r="31" spans="1:9" x14ac:dyDescent="0.25">
      <c r="A31" t="s">
        <v>389</v>
      </c>
      <c r="B31" t="s">
        <v>13</v>
      </c>
      <c r="C31" t="s">
        <v>10</v>
      </c>
      <c r="D31">
        <v>173</v>
      </c>
      <c r="E31">
        <v>27</v>
      </c>
      <c r="F31">
        <v>30000</v>
      </c>
      <c r="G31">
        <v>146</v>
      </c>
      <c r="H31">
        <v>4380000</v>
      </c>
      <c r="I31" t="s">
        <v>824</v>
      </c>
    </row>
    <row r="32" spans="1:9" x14ac:dyDescent="0.25">
      <c r="A32" t="s">
        <v>385</v>
      </c>
      <c r="B32" t="s">
        <v>13</v>
      </c>
      <c r="C32" t="s">
        <v>26</v>
      </c>
      <c r="D32">
        <v>136</v>
      </c>
      <c r="E32">
        <v>31</v>
      </c>
      <c r="F32">
        <v>2500</v>
      </c>
      <c r="G32">
        <v>105</v>
      </c>
      <c r="H32">
        <v>262500</v>
      </c>
      <c r="I32" t="s">
        <v>824</v>
      </c>
    </row>
    <row r="33" spans="1:9" x14ac:dyDescent="0.25">
      <c r="A33" t="s">
        <v>373</v>
      </c>
      <c r="B33" t="s">
        <v>13</v>
      </c>
      <c r="C33" t="s">
        <v>12</v>
      </c>
      <c r="D33">
        <v>62</v>
      </c>
      <c r="E33">
        <v>5</v>
      </c>
      <c r="F33">
        <v>1200</v>
      </c>
      <c r="G33">
        <v>57</v>
      </c>
      <c r="H33">
        <v>68400</v>
      </c>
      <c r="I33" t="s">
        <v>824</v>
      </c>
    </row>
    <row r="34" spans="1:9" x14ac:dyDescent="0.25">
      <c r="A34" t="s">
        <v>371</v>
      </c>
      <c r="B34" t="s">
        <v>13</v>
      </c>
      <c r="C34" t="s">
        <v>26</v>
      </c>
      <c r="D34">
        <v>164</v>
      </c>
      <c r="E34">
        <v>28</v>
      </c>
      <c r="F34">
        <v>30000</v>
      </c>
      <c r="G34">
        <v>136</v>
      </c>
      <c r="H34">
        <v>4080000</v>
      </c>
      <c r="I34" t="s">
        <v>824</v>
      </c>
    </row>
    <row r="35" spans="1:9" x14ac:dyDescent="0.25">
      <c r="A35" t="s">
        <v>346</v>
      </c>
      <c r="B35" t="s">
        <v>13</v>
      </c>
      <c r="C35" t="s">
        <v>16</v>
      </c>
      <c r="D35">
        <v>89</v>
      </c>
      <c r="E35">
        <v>90</v>
      </c>
      <c r="F35">
        <v>30000</v>
      </c>
      <c r="G35">
        <v>-1</v>
      </c>
      <c r="H35">
        <v>-30000</v>
      </c>
      <c r="I35" t="s">
        <v>825</v>
      </c>
    </row>
    <row r="36" spans="1:9" x14ac:dyDescent="0.25">
      <c r="A36" t="s">
        <v>339</v>
      </c>
      <c r="B36" t="s">
        <v>13</v>
      </c>
      <c r="C36" t="s">
        <v>46</v>
      </c>
      <c r="D36">
        <v>48</v>
      </c>
      <c r="E36">
        <v>124</v>
      </c>
      <c r="F36">
        <v>800</v>
      </c>
      <c r="G36">
        <v>-76</v>
      </c>
      <c r="H36">
        <v>-60800</v>
      </c>
      <c r="I36" t="s">
        <v>825</v>
      </c>
    </row>
    <row r="37" spans="1:9" x14ac:dyDescent="0.25">
      <c r="A37" t="s">
        <v>338</v>
      </c>
      <c r="B37" t="s">
        <v>13</v>
      </c>
      <c r="C37" t="s">
        <v>34</v>
      </c>
      <c r="D37">
        <v>196</v>
      </c>
      <c r="E37">
        <v>135</v>
      </c>
      <c r="F37">
        <v>1500</v>
      </c>
      <c r="G37">
        <v>61</v>
      </c>
      <c r="H37">
        <v>91500</v>
      </c>
      <c r="I37" t="s">
        <v>824</v>
      </c>
    </row>
    <row r="38" spans="1:9" x14ac:dyDescent="0.25">
      <c r="A38" t="s">
        <v>333</v>
      </c>
      <c r="B38" t="s">
        <v>13</v>
      </c>
      <c r="C38" t="s">
        <v>10</v>
      </c>
      <c r="D38">
        <v>155</v>
      </c>
      <c r="E38">
        <v>141</v>
      </c>
      <c r="F38">
        <v>12000</v>
      </c>
      <c r="G38">
        <v>14</v>
      </c>
      <c r="H38">
        <v>168000</v>
      </c>
      <c r="I38" t="s">
        <v>824</v>
      </c>
    </row>
    <row r="39" spans="1:9" x14ac:dyDescent="0.25">
      <c r="A39" t="s">
        <v>309</v>
      </c>
      <c r="B39" t="s">
        <v>13</v>
      </c>
      <c r="C39" t="s">
        <v>18</v>
      </c>
      <c r="D39">
        <v>107</v>
      </c>
      <c r="E39">
        <v>18</v>
      </c>
      <c r="F39">
        <v>12000</v>
      </c>
      <c r="G39">
        <v>89</v>
      </c>
      <c r="H39">
        <v>1068000</v>
      </c>
      <c r="I39" t="s">
        <v>824</v>
      </c>
    </row>
    <row r="40" spans="1:9" x14ac:dyDescent="0.25">
      <c r="A40" t="s">
        <v>307</v>
      </c>
      <c r="B40" t="s">
        <v>13</v>
      </c>
      <c r="C40" t="s">
        <v>18</v>
      </c>
      <c r="D40">
        <v>100</v>
      </c>
      <c r="E40">
        <v>134</v>
      </c>
      <c r="F40">
        <v>8000</v>
      </c>
      <c r="G40">
        <v>-34</v>
      </c>
      <c r="H40">
        <v>-272000</v>
      </c>
      <c r="I40" t="s">
        <v>825</v>
      </c>
    </row>
    <row r="41" spans="1:9" x14ac:dyDescent="0.25">
      <c r="A41" t="s">
        <v>302</v>
      </c>
      <c r="B41" t="s">
        <v>13</v>
      </c>
      <c r="C41" t="s">
        <v>16</v>
      </c>
      <c r="D41">
        <v>169</v>
      </c>
      <c r="E41">
        <v>7</v>
      </c>
      <c r="F41">
        <v>12000</v>
      </c>
      <c r="G41">
        <v>162</v>
      </c>
      <c r="H41">
        <v>1944000</v>
      </c>
      <c r="I41" t="s">
        <v>824</v>
      </c>
    </row>
    <row r="42" spans="1:9" x14ac:dyDescent="0.25">
      <c r="A42" t="s">
        <v>300</v>
      </c>
      <c r="B42" t="s">
        <v>13</v>
      </c>
      <c r="C42" t="s">
        <v>10</v>
      </c>
      <c r="D42">
        <v>147</v>
      </c>
      <c r="E42">
        <v>0</v>
      </c>
      <c r="F42">
        <v>1500</v>
      </c>
      <c r="G42">
        <v>147</v>
      </c>
      <c r="H42">
        <v>220500</v>
      </c>
      <c r="I42" t="s">
        <v>824</v>
      </c>
    </row>
    <row r="43" spans="1:9" x14ac:dyDescent="0.25">
      <c r="A43" t="s">
        <v>286</v>
      </c>
      <c r="B43" t="s">
        <v>13</v>
      </c>
      <c r="C43" t="s">
        <v>16</v>
      </c>
      <c r="D43">
        <v>52</v>
      </c>
      <c r="E43">
        <v>43</v>
      </c>
      <c r="F43">
        <v>12000</v>
      </c>
      <c r="G43">
        <v>9</v>
      </c>
      <c r="H43">
        <v>108000</v>
      </c>
      <c r="I43" t="s">
        <v>825</v>
      </c>
    </row>
    <row r="44" spans="1:9" x14ac:dyDescent="0.25">
      <c r="A44" t="s">
        <v>277</v>
      </c>
      <c r="B44" t="s">
        <v>13</v>
      </c>
      <c r="C44" t="s">
        <v>74</v>
      </c>
      <c r="D44">
        <v>146</v>
      </c>
      <c r="E44">
        <v>37</v>
      </c>
      <c r="F44">
        <v>8000</v>
      </c>
      <c r="G44">
        <v>109</v>
      </c>
      <c r="H44">
        <v>872000</v>
      </c>
      <c r="I44" t="s">
        <v>824</v>
      </c>
    </row>
    <row r="45" spans="1:9" x14ac:dyDescent="0.25">
      <c r="A45" t="s">
        <v>264</v>
      </c>
      <c r="B45" t="s">
        <v>13</v>
      </c>
      <c r="C45" t="s">
        <v>12</v>
      </c>
      <c r="D45">
        <v>50</v>
      </c>
      <c r="E45">
        <v>80</v>
      </c>
      <c r="F45">
        <v>5000</v>
      </c>
      <c r="G45">
        <v>-30</v>
      </c>
      <c r="H45">
        <v>-150000</v>
      </c>
      <c r="I45" t="s">
        <v>825</v>
      </c>
    </row>
    <row r="46" spans="1:9" x14ac:dyDescent="0.25">
      <c r="A46" t="s">
        <v>251</v>
      </c>
      <c r="B46" t="s">
        <v>13</v>
      </c>
      <c r="C46" t="s">
        <v>14</v>
      </c>
      <c r="D46">
        <v>60</v>
      </c>
      <c r="E46">
        <v>41</v>
      </c>
      <c r="F46">
        <v>1200</v>
      </c>
      <c r="G46">
        <v>19</v>
      </c>
      <c r="H46">
        <v>22800</v>
      </c>
      <c r="I46" t="s">
        <v>824</v>
      </c>
    </row>
    <row r="47" spans="1:9" x14ac:dyDescent="0.25">
      <c r="A47" t="s">
        <v>245</v>
      </c>
      <c r="B47" t="s">
        <v>13</v>
      </c>
      <c r="C47" t="s">
        <v>16</v>
      </c>
      <c r="D47">
        <v>129</v>
      </c>
      <c r="E47">
        <v>121</v>
      </c>
      <c r="F47">
        <v>8000</v>
      </c>
      <c r="G47">
        <v>8</v>
      </c>
      <c r="H47">
        <v>64000</v>
      </c>
      <c r="I47" t="s">
        <v>825</v>
      </c>
    </row>
    <row r="48" spans="1:9" x14ac:dyDescent="0.25">
      <c r="A48" t="s">
        <v>214</v>
      </c>
      <c r="B48" t="s">
        <v>13</v>
      </c>
      <c r="C48" t="s">
        <v>74</v>
      </c>
      <c r="D48">
        <v>93</v>
      </c>
      <c r="E48">
        <v>105</v>
      </c>
      <c r="F48">
        <v>30000</v>
      </c>
      <c r="G48">
        <v>-12</v>
      </c>
      <c r="H48">
        <v>-360000</v>
      </c>
      <c r="I48" t="s">
        <v>825</v>
      </c>
    </row>
    <row r="49" spans="1:9" x14ac:dyDescent="0.25">
      <c r="A49" t="s">
        <v>184</v>
      </c>
      <c r="B49" t="s">
        <v>13</v>
      </c>
      <c r="C49" t="s">
        <v>31</v>
      </c>
      <c r="D49">
        <v>74</v>
      </c>
      <c r="E49">
        <v>121</v>
      </c>
      <c r="F49">
        <v>1500</v>
      </c>
      <c r="G49">
        <v>-47</v>
      </c>
      <c r="H49">
        <v>-70500</v>
      </c>
      <c r="I49" t="s">
        <v>825</v>
      </c>
    </row>
    <row r="50" spans="1:9" x14ac:dyDescent="0.25">
      <c r="A50" t="s">
        <v>180</v>
      </c>
      <c r="B50" t="s">
        <v>13</v>
      </c>
      <c r="C50" t="s">
        <v>26</v>
      </c>
      <c r="D50">
        <v>127</v>
      </c>
      <c r="E50">
        <v>4</v>
      </c>
      <c r="F50">
        <v>1200</v>
      </c>
      <c r="G50">
        <v>123</v>
      </c>
      <c r="H50">
        <v>147600</v>
      </c>
      <c r="I50" t="s">
        <v>824</v>
      </c>
    </row>
    <row r="51" spans="1:9" x14ac:dyDescent="0.25">
      <c r="A51" t="s">
        <v>166</v>
      </c>
      <c r="B51" t="s">
        <v>13</v>
      </c>
      <c r="C51" t="s">
        <v>12</v>
      </c>
      <c r="D51">
        <v>91</v>
      </c>
      <c r="E51">
        <v>114</v>
      </c>
      <c r="F51">
        <v>2500</v>
      </c>
      <c r="G51">
        <v>-23</v>
      </c>
      <c r="H51">
        <v>-57500</v>
      </c>
      <c r="I51" t="s">
        <v>825</v>
      </c>
    </row>
    <row r="52" spans="1:9" x14ac:dyDescent="0.25">
      <c r="A52" t="s">
        <v>152</v>
      </c>
      <c r="B52" t="s">
        <v>13</v>
      </c>
      <c r="C52" t="s">
        <v>34</v>
      </c>
      <c r="D52">
        <v>74</v>
      </c>
      <c r="E52">
        <v>85</v>
      </c>
      <c r="F52">
        <v>8000</v>
      </c>
      <c r="G52">
        <v>-11</v>
      </c>
      <c r="H52">
        <v>-88000</v>
      </c>
      <c r="I52" t="s">
        <v>825</v>
      </c>
    </row>
    <row r="53" spans="1:9" x14ac:dyDescent="0.25">
      <c r="A53" t="s">
        <v>144</v>
      </c>
      <c r="B53" t="s">
        <v>13</v>
      </c>
      <c r="C53" t="s">
        <v>16</v>
      </c>
      <c r="D53">
        <v>154</v>
      </c>
      <c r="E53">
        <v>38</v>
      </c>
      <c r="F53">
        <v>5000</v>
      </c>
      <c r="G53">
        <v>116</v>
      </c>
      <c r="H53">
        <v>580000</v>
      </c>
      <c r="I53" t="s">
        <v>824</v>
      </c>
    </row>
    <row r="54" spans="1:9" x14ac:dyDescent="0.25">
      <c r="A54" t="s">
        <v>140</v>
      </c>
      <c r="B54" t="s">
        <v>13</v>
      </c>
      <c r="C54" t="s">
        <v>12</v>
      </c>
      <c r="D54">
        <v>108</v>
      </c>
      <c r="E54">
        <v>93</v>
      </c>
      <c r="F54">
        <v>1200</v>
      </c>
      <c r="G54">
        <v>15</v>
      </c>
      <c r="H54">
        <v>18000</v>
      </c>
      <c r="I54" t="s">
        <v>824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83028-7AE0-4FC1-9892-48B33F902EFA}">
  <dimension ref="A1:L5"/>
  <sheetViews>
    <sheetView showGridLines="0" tabSelected="1" zoomScale="80" zoomScaleNormal="80" workbookViewId="0">
      <selection activeCell="S15" sqref="S15"/>
    </sheetView>
  </sheetViews>
  <sheetFormatPr defaultRowHeight="15" x14ac:dyDescent="0.25"/>
  <cols>
    <col min="1" max="1" width="16.28515625" customWidth="1"/>
    <col min="2" max="2" width="26.140625" bestFit="1" customWidth="1"/>
    <col min="6" max="6" width="14" customWidth="1"/>
    <col min="7" max="7" width="10.5703125" customWidth="1"/>
    <col min="10" max="10" width="31.140625" bestFit="1" customWidth="1"/>
  </cols>
  <sheetData>
    <row r="1" spans="1:12" x14ac:dyDescent="0.25">
      <c r="A1" s="1"/>
      <c r="B1" s="1"/>
      <c r="D1" s="8"/>
      <c r="E1" s="8"/>
      <c r="F1" s="8"/>
      <c r="G1" s="8"/>
      <c r="H1" s="8"/>
      <c r="I1" s="8"/>
      <c r="J1" s="8"/>
      <c r="K1" s="8"/>
      <c r="L1" s="8"/>
    </row>
    <row r="2" spans="1:12" ht="16.5" customHeight="1" x14ac:dyDescent="0.25">
      <c r="A2" s="1"/>
      <c r="D2" s="8"/>
      <c r="K2" s="8"/>
      <c r="L2" s="8"/>
    </row>
    <row r="3" spans="1:12" ht="33.75" x14ac:dyDescent="0.5">
      <c r="A3" s="1"/>
      <c r="D3" s="8"/>
      <c r="E3" s="8"/>
      <c r="F3" s="12" t="s">
        <v>823</v>
      </c>
      <c r="G3" s="12"/>
      <c r="H3" s="12"/>
      <c r="I3" s="13"/>
      <c r="J3" s="13"/>
      <c r="K3" s="8"/>
      <c r="L3" s="8"/>
    </row>
    <row r="4" spans="1:12" ht="21" customHeight="1" x14ac:dyDescent="0.35">
      <c r="A4" s="1"/>
      <c r="B4" s="11"/>
      <c r="D4" s="14" t="s">
        <v>828</v>
      </c>
      <c r="E4" s="14"/>
      <c r="F4" s="8"/>
      <c r="G4" s="15" t="s">
        <v>829</v>
      </c>
      <c r="H4" s="8"/>
      <c r="I4" s="8"/>
      <c r="J4" s="16" t="s">
        <v>830</v>
      </c>
      <c r="K4" s="8"/>
      <c r="L4" s="8"/>
    </row>
    <row r="5" spans="1:12" ht="23.25" x14ac:dyDescent="0.25">
      <c r="D5" s="9">
        <f>COUNTA(Stock_Calculation!A2:A501)</f>
        <v>500</v>
      </c>
      <c r="E5" s="8"/>
      <c r="F5" s="8"/>
      <c r="G5" s="9">
        <f>SUM(Stock_Calculation!G:G)</f>
        <v>16865</v>
      </c>
      <c r="H5" s="8"/>
      <c r="I5" s="8"/>
      <c r="J5" s="17">
        <f>SUM(Stock_Calculation!H:H)</f>
        <v>156364100</v>
      </c>
      <c r="K5" s="8"/>
      <c r="L5"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D3C9D-29CB-4970-991C-DFB272759926}">
  <dimension ref="A1:E12"/>
  <sheetViews>
    <sheetView workbookViewId="0">
      <selection activeCell="D1" sqref="D1:E12"/>
    </sheetView>
  </sheetViews>
  <sheetFormatPr defaultRowHeight="15" x14ac:dyDescent="0.25"/>
  <cols>
    <col min="2" max="2" width="18" bestFit="1" customWidth="1"/>
    <col min="5" max="5" width="18.140625" bestFit="1" customWidth="1"/>
  </cols>
  <sheetData>
    <row r="1" spans="1:5" x14ac:dyDescent="0.25">
      <c r="A1" s="4" t="s">
        <v>819</v>
      </c>
      <c r="B1" t="s">
        <v>821</v>
      </c>
      <c r="D1" s="4" t="s">
        <v>819</v>
      </c>
      <c r="E1" t="s">
        <v>822</v>
      </c>
    </row>
    <row r="2" spans="1:5" x14ac:dyDescent="0.25">
      <c r="A2" s="5" t="s">
        <v>52</v>
      </c>
      <c r="B2" s="7">
        <v>1458</v>
      </c>
      <c r="D2" s="5" t="s">
        <v>31</v>
      </c>
      <c r="E2" s="6">
        <v>11512100</v>
      </c>
    </row>
    <row r="3" spans="1:5" x14ac:dyDescent="0.25">
      <c r="A3" s="5" t="s">
        <v>13</v>
      </c>
      <c r="B3" s="7">
        <v>2560</v>
      </c>
      <c r="D3" s="5" t="s">
        <v>74</v>
      </c>
      <c r="E3" s="6">
        <v>10586500</v>
      </c>
    </row>
    <row r="4" spans="1:5" x14ac:dyDescent="0.25">
      <c r="A4" s="5" t="s">
        <v>8</v>
      </c>
      <c r="B4" s="7">
        <v>1446</v>
      </c>
      <c r="D4" s="5" t="s">
        <v>18</v>
      </c>
      <c r="E4" s="6">
        <v>33051200</v>
      </c>
    </row>
    <row r="5" spans="1:5" x14ac:dyDescent="0.25">
      <c r="A5" s="5" t="s">
        <v>15</v>
      </c>
      <c r="B5" s="7">
        <v>1786</v>
      </c>
      <c r="D5" s="5" t="s">
        <v>10</v>
      </c>
      <c r="E5" s="6">
        <v>3316700</v>
      </c>
    </row>
    <row r="6" spans="1:5" x14ac:dyDescent="0.25">
      <c r="A6" s="5" t="s">
        <v>11</v>
      </c>
      <c r="B6" s="7">
        <v>1018</v>
      </c>
      <c r="D6" s="5" t="s">
        <v>14</v>
      </c>
      <c r="E6" s="6">
        <v>10053300</v>
      </c>
    </row>
    <row r="7" spans="1:5" x14ac:dyDescent="0.25">
      <c r="A7" s="5" t="s">
        <v>17</v>
      </c>
      <c r="B7" s="7">
        <v>1433</v>
      </c>
      <c r="D7" s="5" t="s">
        <v>34</v>
      </c>
      <c r="E7" s="6">
        <v>14612900</v>
      </c>
    </row>
    <row r="8" spans="1:5" x14ac:dyDescent="0.25">
      <c r="A8" s="5" t="s">
        <v>39</v>
      </c>
      <c r="B8" s="7">
        <v>1877</v>
      </c>
      <c r="D8" s="5" t="s">
        <v>12</v>
      </c>
      <c r="E8" s="6">
        <v>9188200</v>
      </c>
    </row>
    <row r="9" spans="1:5" x14ac:dyDescent="0.25">
      <c r="A9" s="5" t="s">
        <v>96</v>
      </c>
      <c r="B9" s="7">
        <v>1630</v>
      </c>
      <c r="D9" s="5" t="s">
        <v>16</v>
      </c>
      <c r="E9" s="6">
        <v>24981100</v>
      </c>
    </row>
    <row r="10" spans="1:5" x14ac:dyDescent="0.25">
      <c r="A10" s="5" t="s">
        <v>49</v>
      </c>
      <c r="B10" s="7">
        <v>1247</v>
      </c>
      <c r="D10" s="5" t="s">
        <v>46</v>
      </c>
      <c r="E10" s="6">
        <v>17695800</v>
      </c>
    </row>
    <row r="11" spans="1:5" x14ac:dyDescent="0.25">
      <c r="A11" s="5" t="s">
        <v>25</v>
      </c>
      <c r="B11" s="7">
        <v>2410</v>
      </c>
      <c r="D11" s="5" t="s">
        <v>26</v>
      </c>
      <c r="E11" s="6">
        <v>21366300</v>
      </c>
    </row>
    <row r="12" spans="1:5" x14ac:dyDescent="0.25">
      <c r="A12" s="5" t="s">
        <v>820</v>
      </c>
      <c r="B12" s="7">
        <v>16865</v>
      </c>
      <c r="D12" s="5" t="s">
        <v>820</v>
      </c>
      <c r="E12" s="11">
        <v>156364100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Raw_Inventory</vt:lpstr>
      <vt:lpstr>Stock_Calculation</vt:lpstr>
      <vt:lpstr>Validation</vt:lpstr>
      <vt:lpstr>Detail1</vt:lpstr>
      <vt:lpstr>Detail2</vt:lpstr>
      <vt:lpstr>Inventory_Report</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puspalak</dc:creator>
  <cp:lastModifiedBy>vishal puspalak</cp:lastModifiedBy>
  <dcterms:created xsi:type="dcterms:W3CDTF">2026-03-12T10:10:54Z</dcterms:created>
  <dcterms:modified xsi:type="dcterms:W3CDTF">2026-03-12T11:34:11Z</dcterms:modified>
</cp:coreProperties>
</file>